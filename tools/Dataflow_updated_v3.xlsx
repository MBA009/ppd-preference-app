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lows" sheetId="1" state="visible" r:id="rId3"/>
    <sheet name="Devices" sheetId="2" state="visible" r:id="rId4"/>
    <sheet name="Summary" sheetId="3" state="visible" r:id="rId5"/>
    <sheet name="Core rule groups" sheetId="4" state="visible" r:id="rId6"/>
    <sheet name="Sources" sheetId="5" state="visible" r:id="rId7"/>
    <sheet name="Control Vocabulary" sheetId="6" state="visible" r:id="rId8"/>
  </sheets>
  <definedNames>
    <definedName function="false" hidden="true" localSheetId="3" name="_xlnm._FilterDatabase" vbProcedure="false">'Core rule groups'!$A$1:$J$55</definedName>
    <definedName function="false" hidden="true" localSheetId="0" name="_xlnm._FilterDatabase" vbProcedure="false">Flows!$A$1:$W$89</definedName>
    <definedName function="false" hidden="true" localSheetId="4" name="_xlnm._FilterDatabase" vbProcedure="false">Sources!$A$1:$F$74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<sst xmlns="http://schemas.openxmlformats.org/spreadsheetml/2006/main" count="2789" uniqueCount="1040">
  <si>
    <t xml:space="preserve">Flow ID</t>
  </si>
  <si>
    <t xml:space="preserve">Device ID</t>
  </si>
  <si>
    <t xml:space="preserve">Device</t>
  </si>
  <si>
    <t xml:space="preserve">Category ID</t>
  </si>
  <si>
    <t xml:space="preserve">Category</t>
  </si>
  <si>
    <t xml:space="preserve">Row in device sheet</t>
  </si>
  <si>
    <t xml:space="preserve">Phase</t>
  </si>
  <si>
    <t xml:space="preserve">Dataflow</t>
  </si>
  <si>
    <t xml:space="preserve">data_type</t>
  </si>
  <si>
    <t xml:space="preserve">purpose</t>
  </si>
  <si>
    <t xml:space="preserve">action</t>
  </si>
  <si>
    <t xml:space="preserve">source</t>
  </si>
  <si>
    <t xml:space="preserve">handling_context</t>
  </si>
  <si>
    <t xml:space="preserve">Constraints</t>
  </si>
  <si>
    <t xml:space="preserve">Core rule group</t>
  </si>
  <si>
    <t xml:space="preserve">Control type</t>
  </si>
  <si>
    <t xml:space="preserve">Necessity</t>
  </si>
  <si>
    <t xml:space="preserve">Control cue(s)</t>
  </si>
  <si>
    <t xml:space="preserve">Control note (draft)</t>
  </si>
  <si>
    <t xml:space="preserve">Evidence</t>
  </si>
  <si>
    <t xml:space="preserve">Linked sources</t>
  </si>
  <si>
    <t xml:space="preserve">Declaration statement ID</t>
  </si>
  <si>
    <t xml:space="preserve">Notes</t>
  </si>
  <si>
    <t xml:space="preserve">aqara-w200.setup-wi-fi-network-credential-entered-during-pairing</t>
  </si>
  <si>
    <t xml:space="preserve">aqara-w200</t>
  </si>
  <si>
    <t xml:space="preserve">Aqara Thermostat Hub W200</t>
  </si>
  <si>
    <t xml:space="preserve">thermostat</t>
  </si>
  <si>
    <t xml:space="preserve">Thermostat</t>
  </si>
  <si>
    <t xml:space="preserve">setup</t>
  </si>
  <si>
    <t xml:space="preserve">Setup: Wi-Fi network credential entered during pairing</t>
  </si>
  <si>
    <t xml:space="preserve">pat:networkCredentialData</t>
  </si>
  <si>
    <t xml:space="preserve">pat:deviceSetup</t>
  </si>
  <si>
    <t xml:space="preserve">ppd:collection</t>
  </si>
  <si>
    <t xml:space="preserve">ppd:userProvided</t>
  </si>
  <si>
    <t xml:space="preserve">ppd:householdContext</t>
  </si>
  <si>
    <t xml:space="preserve">ck-8d3ef5b3</t>
  </si>
  <si>
    <t xml:space="preserve">setup_step</t>
  </si>
  <si>
    <t xml:space="preserve">required_for_feature</t>
  </si>
  <si>
    <t xml:space="preserve">You enter your Wi-Fi password when pairing the thermostat; it needs it to get online.</t>
  </si>
  <si>
    <t xml:space="preserve">source_linked</t>
  </si>
  <si>
    <t xml:space="preserve">aqara-w200.src1; aqara-w200.src6</t>
  </si>
  <si>
    <t xml:space="preserve">network-credential-data-device-setup-collection-household-context</t>
  </si>
  <si>
    <t xml:space="preserve">Round 3: Manual also offers 'Skip' for network setup and says to configure the device locally, so Wi-Fi may be needed for online/app/Matter features rather than for local thermostat operation. Left as the team set it; consider whether necessity should be optional. Necessity is inferred from what the flow does; no source states it.</t>
  </si>
  <si>
    <t xml:space="preserve">aqara-w200.setup-aqara-account-identifiers-email-phone-username-password</t>
  </si>
  <si>
    <t xml:space="preserve">Setup: Aqara account identifiers (email/phone/username/password/social sign-in)</t>
  </si>
  <si>
    <t xml:space="preserve">ppd:identifierData</t>
  </si>
  <si>
    <t xml:space="preserve">pat:accountSetup</t>
  </si>
  <si>
    <t xml:space="preserve">pat:aqaraService</t>
  </si>
  <si>
    <t xml:space="preserve">ck-a323000c</t>
  </si>
  <si>
    <t xml:space="preserve">You create or sign in to an Aqara account during setup.</t>
  </si>
  <si>
    <t xml:space="preserve">aqara-w200.src2; aqara-w200.src6</t>
  </si>
  <si>
    <t xml:space="preserve">identifier-data-account-setup-collection-aqara-service</t>
  </si>
  <si>
    <t xml:space="preserve">Round 3: Manual: 'Before using this product, you need to download the Aqara Home app and register an account.' (seen once, via a summarised fetch). Setup also offers a Skip option for network setup, so basic local use after skipping is not ruled out.</t>
  </si>
  <si>
    <t xml:space="preserve">aqara-w200.setup-hvac-system-wiring-compatibility-profile</t>
  </si>
  <si>
    <t xml:space="preserve">Setup: HVAC system / wiring compatibility profile</t>
  </si>
  <si>
    <t xml:space="preserve">pat:hvacSystemProfileData</t>
  </si>
  <si>
    <t xml:space="preserve">You answer questions about your heating and cooling wiring during setup.</t>
  </si>
  <si>
    <t xml:space="preserve">aqara-w200.src3</t>
  </si>
  <si>
    <t xml:space="preserve">hvac-system-profile-data-device-setup-collection-household-context</t>
  </si>
  <si>
    <t xml:space="preserve">Round 3: Necessity is inferred from what the flow does; no source states it. Earlier note: src3 is Aqara's web compatibility checker (likely used before purchase), and it does not say where answers are stored or sent. Confirm an in-app wiring step exists, or split into a website check plus an in-app configuration flow.</t>
  </si>
  <si>
    <t xml:space="preserve">aqara-w200.customer-support-photo-video-attachment-upload</t>
  </si>
  <si>
    <t xml:space="preserve">runtime</t>
  </si>
  <si>
    <t xml:space="preserve">Customer-support photo/video attachment upload</t>
  </si>
  <si>
    <t xml:space="preserve">pat:visualData</t>
  </si>
  <si>
    <t xml:space="preserve">pat:customerSupport</t>
  </si>
  <si>
    <t xml:space="preserve">ck-8743be11</t>
  </si>
  <si>
    <t xml:space="preserve">user_initiated</t>
  </si>
  <si>
    <t xml:space="preserve">optional</t>
  </si>
  <si>
    <t xml:space="preserve">You choose whether to attach a photo or video when you contact support. You can ask Aqara to delete it afterwards, but Aqara may not always be able to.</t>
  </si>
  <si>
    <t xml:space="preserve">aqara-w200.src2</t>
  </si>
  <si>
    <t xml:space="preserve">visual-data-customer-support-collection-aqara-service</t>
  </si>
  <si>
    <t xml:space="preserve">Round 3: Necessity is inferred from what the flow does; no source states it. Earlier note: Provisional: privacy policy (src2) says providing requested data is voluntary, but support may be unable to help without it; deletion is available on request. Wording came from a fetched summary of the policy - verify against the page. Retention: policy says 'as long as necessary' - left blank on purpose.</t>
  </si>
  <si>
    <t xml:space="preserve">aqara-w200.aqara-service-app-usage-activity-shared-with-analytics</t>
  </si>
  <si>
    <t xml:space="preserve">Aqara service/app usage activity shared with analytics/advertising service providers</t>
  </si>
  <si>
    <t xml:space="preserve">ppd:usageData</t>
  </si>
  <si>
    <t xml:space="preserve">ppd:advertisingAndMarketing</t>
  </si>
  <si>
    <t xml:space="preserve">ppd:transfer</t>
  </si>
  <si>
    <t xml:space="preserve">ppd:participantObserved</t>
  </si>
  <si>
    <t xml:space="preserve">pat:thirdPartyServiceProvider</t>
  </si>
  <si>
    <t xml:space="preserve">ck-393f775e</t>
  </si>
  <si>
    <t xml:space="preserve">external_request</t>
  </si>
  <si>
    <t xml:space="preserve">You may opt-out of our processing of your personal data for purposes of targeted advertising</t>
  </si>
  <si>
    <t xml:space="preserve">You can ask Aqara to stop using your personal data for targeted advertising by emailing privacy@Lumiunited.com.</t>
  </si>
  <si>
    <t xml:space="preserve">usage-data-advertising-and-marketing-transfer-third-party-service-provider</t>
  </si>
  <si>
    <t xml:space="preserve">Round 3: Changed from the team's none_documented: the privacy policy (src2) says 'You may opt-out of our processing of your personal data for purposes of targeted advertising' and names email privacy@Lumiunited.com; it also points to the DAA WebChoices tool for web cookies and a California request to opt out of sale/sharing. No in-app toggle and no analytics-specific opt-out are stated, and the opt-out wording does not clearly cover app-analytics sharing with Google/Facebook. Revert to none_documented if the team reads the row as analytics only. Necessity inferred: the thermostat does not need advertising sharing to work. Earlier note: Team set none_documented. The policy fetched for r5 (src2) mentions opt-out options for marketing communications and targeted advertising, and consent withdrawal - check whether any of these apply to this flow before keeping none_documented.</t>
  </si>
  <si>
    <t xml:space="preserve">aqara-w200.linked-temperature-sensor-input-for-hvac-control</t>
  </si>
  <si>
    <t xml:space="preserve">Linked temperature sensor input for HVAC control</t>
  </si>
  <si>
    <t xml:space="preserve">pat:environmentData</t>
  </si>
  <si>
    <t xml:space="preserve">pat:hvacControl</t>
  </si>
  <si>
    <t xml:space="preserve">pat:linkedClimateSensor</t>
  </si>
  <si>
    <t xml:space="preserve">ck-35d576be</t>
  </si>
  <si>
    <t xml:space="preserve">user_setting</t>
  </si>
  <si>
    <t xml:space="preserve">choose which spaces the thermostat uses</t>
  </si>
  <si>
    <t xml:space="preserve">You choose which linked sensors and spaces the thermostat uses.</t>
  </si>
  <si>
    <t xml:space="preserve">aqara-w200.src4; aqara-w200.src5</t>
  </si>
  <si>
    <t xml:space="preserve">environment-data-hvac-control-collection-household-context</t>
  </si>
  <si>
    <t xml:space="preserve">Round 3: Necessity is inferred from what the flow does; no source states it. Earlier note: src5 says the thermostat connects to temperature, presence and other sensors and lets you choose which spaces it uses. Provisional - verify wording, and confirm a linked sensor can be removed.</t>
  </si>
  <si>
    <t xml:space="preserve">aqara-w200.linked-humidity-sensor-input-for-climate-balancing</t>
  </si>
  <si>
    <t xml:space="preserve">Linked humidity sensor input for climate balancing</t>
  </si>
  <si>
    <t xml:space="preserve">Round 3: Necessity is inferred from what the flow does; no source states it. Earlier note: src5 says readings can be averaged across rooms and temperature/humidity soft sensors created. Provisional - verify wording.</t>
  </si>
  <si>
    <t xml:space="preserve">aqara-w200.built-in-mmwave-presence-occupancy-sensing</t>
  </si>
  <si>
    <t xml:space="preserve">Built-in mmWave presence/occupancy sensing</t>
  </si>
  <si>
    <t xml:space="preserve">pat:presenceData</t>
  </si>
  <si>
    <t xml:space="preserve">pat:occupancyControl</t>
  </si>
  <si>
    <t xml:space="preserve">pat:mmWaveSensor</t>
  </si>
  <si>
    <t xml:space="preserve">ck-42c4986b</t>
  </si>
  <si>
    <t xml:space="preserve">none_documented</t>
  </si>
  <si>
    <t xml:space="preserve">aqara-w200.src4; aqara-w200.src5; aqara-w200.src6; aqara-w200.src8; aqara-w200.src9</t>
  </si>
  <si>
    <t xml:space="preserve">presence-data-occupancy-control-collection-household-context</t>
  </si>
  <si>
    <t xml:space="preserve">Round 3: Checked: product pages (src4, src5), support page (src1: videos only), W200 user manual, MacRumors review, RES Tech Today hands-on, Aqara forum user guide, privacy policy (src2). Manual: 'The built-in sensor can activate the screen as you approach.' None of them describes turning the radar off or changing its sensitivity. Necessity: heating/cooling still works with manual control or schedules; screen wake on approach and presence-based features depend on this sensor (so 'optional' follows the team's core-function reading). Necessity is inferred from what the flow does; no source states it. Earlier note: src5: radar detects human presence within about 3 m / 120 degrees, used for automations and smart control; the screen wakes as you approach. The page does not say whether the sensor can be turned off, so control stays unknown.</t>
  </si>
  <si>
    <t xml:space="preserve">aqara-w200.presence-data-used-for-follow-presence-adaptive-hvac</t>
  </si>
  <si>
    <t xml:space="preserve">Presence data used for Follow Presence / adaptive HVAC</t>
  </si>
  <si>
    <t xml:space="preserve">pat:adaptiveClimate</t>
  </si>
  <si>
    <t xml:space="preserve">ppd:use</t>
  </si>
  <si>
    <t xml:space="preserve">ppd:derivedFromPriorData</t>
  </si>
  <si>
    <t xml:space="preserve">ck-bfcbc89a</t>
  </si>
  <si>
    <t xml:space="preserve">aqara-w200.src4; aqara-w200.src5; aqara-w200.src6; aqara-w200.src7</t>
  </si>
  <si>
    <t xml:space="preserve">presence-data-adaptive-climate-use-household-context</t>
  </si>
  <si>
    <t xml:space="preserve">Round 3: Checked: src4, src5, user manual, Aqara forum user guide, privacy policy. The manual does not name 'Follow Presence'; the forum release note 4.5.49 lists 'Added Follow Presence function' with no on/off setting. Apple Home has its own Predictive Arrival / Adaptive Temperature settings (forum guide), but I could not confirm they control the Aqara presence-based mode in this row. Manual: if schedules are disabled 'the thermostat will only respond to manual controls', so the thermostat works without adaptive behaviour. Necessity is inferred from what the flow does; no source states it. Earlier note: src5: with a presence sensor the system switches to energy-saving mode when a room is empty; the page does not say whether this can be turned off. The term 'Follow Presence' does not appear on src5.</t>
  </si>
  <si>
    <t xml:space="preserve">aqara-w200.climate-environment-data-used-for-adaptive-hvac</t>
  </si>
  <si>
    <t xml:space="preserve">Climate/environment data used for adaptive HVAC</t>
  </si>
  <si>
    <t xml:space="preserve">aqara-w200.src4; aqara-w200.src6; aqara-w200.src7</t>
  </si>
  <si>
    <t xml:space="preserve">environment-data-adaptive-climate-use-household-context</t>
  </si>
  <si>
    <t xml:space="preserve">Round 3: Same pages checked as the presence row above (src4, user manual, forum guide, privacy policy). No page describes a switch for adaptive use of climate data. Apple's Adaptive Temperature is configured in the Apple Home app (iOS 26 or later per the forum guide), which may be a control for the Apple-side feature only. Necessity: manual and scheduled operation work without it. Necessity is inferred from what the flow does; no source states it.</t>
  </si>
  <si>
    <t xml:space="preserve">aqara-w200.doorbell-visitor-snapshot-displayed-on-w200</t>
  </si>
  <si>
    <t xml:space="preserve">Doorbell visitor snapshot displayed on W200</t>
  </si>
  <si>
    <t xml:space="preserve">pat:visitorViewing</t>
  </si>
  <si>
    <t xml:space="preserve">pat:pairedDoorbell</t>
  </si>
  <si>
    <t xml:space="preserve">processing_boundary=ppd:inHomeOnly</t>
  </si>
  <si>
    <t xml:space="preserve">ck-f838b9a1</t>
  </si>
  <si>
    <t xml:space="preserve">Add the doorbell to your Aqara account first; the doorbell and W200 must be on the same network</t>
  </si>
  <si>
    <t xml:space="preserve">You choose whether to link a compatible Aqara doorbell to the thermostat in the Aqara Home app.</t>
  </si>
  <si>
    <t xml:space="preserve">aqara-w200.src5; aqara-w200.src7</t>
  </si>
  <si>
    <t xml:space="preserve">visual-data-visitor-viewing-use-household-context</t>
  </si>
  <si>
    <t xml:space="preserve">Round 3: Forum guide (seen once, via a summarised fetch): doorbells and locks must be added to the Aqara account before linking, and the doorbell and W200 must be on the same LAN for the link to work. The same-LAN requirement is consistent with, but does not prove, the row's processing_boundary=inHomeOnly, which no vendor page states. The user manual does not cover doorbell linking. Whether the link can be removed later is not stated, so setup_step rather than user_setting. Necessity is inferred from what the flow does; no source states it. Earlier note: src5 supports doorbell snapshots on the thermostat screen (G410/G400 doorbells, set up in the Aqara Home app). src5 does NOT say where processing happens, so Constraints = processing_boundary=ppd:inHomeOnly is not supported by it - confirm or remove. It also does not say whether snapshots appear automatically or on request, so control stays unknown.</t>
  </si>
  <si>
    <t xml:space="preserve">aqara-w200.smart-lock-unlock-command-from-w200-screen</t>
  </si>
  <si>
    <t xml:space="preserve">Smart-lock unlock command from W200 screen</t>
  </si>
  <si>
    <t xml:space="preserve">pat:lockControlCommand</t>
  </si>
  <si>
    <t xml:space="preserve">pat:accessControl</t>
  </si>
  <si>
    <t xml:space="preserve">ck-6ce82887</t>
  </si>
  <si>
    <t xml:space="preserve">The unlock command is sent only when you press unlock on the thermostat screen.</t>
  </si>
  <si>
    <t xml:space="preserve">aqara-w200.src5</t>
  </si>
  <si>
    <t xml:space="preserve">lock-control-command-access-control-transfer-household-context</t>
  </si>
  <si>
    <t xml:space="preserve">Round 3: Necessity is inferred from what the flow does; no source states it. Earlier note: src5: unlock compatible Aqara locks from the thermostat screen; set up in the Aqara Home app. Provisional control value.</t>
  </si>
  <si>
    <t xml:space="preserve">aqara-w200.smart-home-device-scene-control-from-w200-panel</t>
  </si>
  <si>
    <t xml:space="preserve">Smart-home device / scene control from W200 panel</t>
  </si>
  <si>
    <t xml:space="preserve">pat:deviceControlCommand</t>
  </si>
  <si>
    <t xml:space="preserve">pat:smartHomeControl</t>
  </si>
  <si>
    <t xml:space="preserve">Device and scene commands are sent only when you use the thermostat panel.</t>
  </si>
  <si>
    <t xml:space="preserve">device-control-command-smart-home-control-transfer-household-context</t>
  </si>
  <si>
    <t xml:space="preserve">Round 3: Necessity is inferred from what the flow does; no source states it. Earlier note: src5: controls lighting, curtain drivers, wall switches and scenes from one screen. Provisional control value.</t>
  </si>
  <si>
    <t xml:space="preserve">aqara-w200.aqara-zigbee-household-device-state-bridged-to-external</t>
  </si>
  <si>
    <t xml:space="preserve">Aqara Zigbee / household device state bridged to external Matter ecosystems</t>
  </si>
  <si>
    <t xml:space="preserve">pat:householdDeviceState</t>
  </si>
  <si>
    <t xml:space="preserve">pat:ecosystemIntegration</t>
  </si>
  <si>
    <t xml:space="preserve">ppd:householdProvided</t>
  </si>
  <si>
    <t xml:space="preserve">pat:smartHomeEcosystem</t>
  </si>
  <si>
    <t xml:space="preserve">ck-e07af878</t>
  </si>
  <si>
    <t xml:space="preserve">Matter binding: scan the QR code to bind; unbinding may disable schedules and other features</t>
  </si>
  <si>
    <t xml:space="preserve">You choose whether to connect the thermostat to a Matter ecosystem such as Apple Home; the manual says unbinding may turn off features such as schedules.</t>
  </si>
  <si>
    <t xml:space="preserve">aqara-w200.src5; aqara-w200.src6; aqara-w200.src8</t>
  </si>
  <si>
    <t xml:space="preserve">household-device-state-ecosystem-integration-transfer-smart-home-ecosystem</t>
  </si>
  <si>
    <t xml:space="preserve">Round 3: Manual: Matter appears as a setup option ('Scan the QR code to bind'), several ecosystems can be added, and Matter unbinding 'may also disable schedules and other features'. MacRumors: the reviewer had to choose between Apple Home control or the Aqara app, which shows the thermostat works without an ecosystem. Not stated: whether the user can choose which Zigbee devices are shared with an ecosystem. Earlier note: src5: the W200 is a Zigbee hub and Matter bridge that connects Aqara Zigbee devices to Apple Home, Google Home and Alexa (it also lists SmartThings and Home Assistant). The page does not say which data is exposed or whether bridging is opt-in. Split into per-data-type flows once Aqara documentation says what is exposed.</t>
  </si>
  <si>
    <t xml:space="preserve">aqara-w200.control-command-received-from-external-matter-ecosystem</t>
  </si>
  <si>
    <t xml:space="preserve">Control command received from external Matter ecosystem</t>
  </si>
  <si>
    <t xml:space="preserve">pat:smartHomeEcosystemProvided</t>
  </si>
  <si>
    <t xml:space="preserve">ck-50df5684</t>
  </si>
  <si>
    <t xml:space="preserve">Commands from a Matter ecosystem arrive only if you connect the thermostat to one, and you can unbind it.</t>
  </si>
  <si>
    <t xml:space="preserve">device-control-command-ecosystem-integration-collection-household-context</t>
  </si>
  <si>
    <t xml:space="preserve">Round 3: Same basis as the state-bridging row above. Commands can also come from ecosystem automations (for example Apple's Adaptive Temperature), so this is not user_initiated. Google Home and Alexa are not mentioned in the manual. Earlier note: src5: voice control via Siri/Alexa and direct connection to the listed platforms. Control (likely opt-in by adding the hub to an ecosystem) is not stated.</t>
  </si>
  <si>
    <t xml:space="preserve">aqara-w200.remote-thermostat-command-through-aqara-home-service</t>
  </si>
  <si>
    <t xml:space="preserve">Remote thermostat command through Aqara Home service</t>
  </si>
  <si>
    <t xml:space="preserve">pat:thermostatControlCommand</t>
  </si>
  <si>
    <t xml:space="preserve">pat:remoteControl</t>
  </si>
  <si>
    <t xml:space="preserve">ck-b019ee2b</t>
  </si>
  <si>
    <t xml:space="preserve">A remote thermostat command is sent only when you send it from your phone.</t>
  </si>
  <si>
    <t xml:space="preserve">needs_source</t>
  </si>
  <si>
    <t xml:space="preserve">aqara-w200.src5; aqara-w200.src6</t>
  </si>
  <si>
    <t xml:space="preserve">thermostat-control-command-remote-control-collection-aqara-service</t>
  </si>
  <si>
    <t xml:space="preserve">Round 3: Manual: mode and temperature settings are 'Adjustable in the app'. Control from outside the home network, and routing through the Aqara service, are not stated in the manual, the review or the forum guide, so evidence stays needs_source. Necessity is inferred from what the flow does; no source states it. Earlier note: src5 supports remote control from the phone, but routing through the Aqara Home service/cloud (handling_context aqaraService) is not stated, so evidence stays needs_source. Provisional control value.</t>
  </si>
  <si>
    <t xml:space="preserve">aqara-w200.device-diagnostics-logs-status-sent-to-aqara</t>
  </si>
  <si>
    <t xml:space="preserve">Device diagnostics / logs / status sent to Aqara</t>
  </si>
  <si>
    <t xml:space="preserve">pat:diagnosticData</t>
  </si>
  <si>
    <t xml:space="preserve">ppd:diagnosticsAndMaintenance</t>
  </si>
  <si>
    <t xml:space="preserve">ppd:participantGenerated</t>
  </si>
  <si>
    <t xml:space="preserve">ck-d0fc350e</t>
  </si>
  <si>
    <t xml:space="preserve">unknown</t>
  </si>
  <si>
    <t xml:space="preserve">You may withdraw your prior consent for the use of your personal data</t>
  </si>
  <si>
    <t xml:space="preserve">You can ask Aqara to delete your data or withdraw your consent by emailing privacy@Lumiunited.com; the policy describes no in-app switch for device logs.</t>
  </si>
  <si>
    <t xml:space="preserve">diagnostic-data-diagnostics-and-maintenance-transfer-aqara-service</t>
  </si>
  <si>
    <t xml:space="preserve">Round 3: Policy (src2) says it may collect 'device log, usage history and device status' and gives no opt-out for them. The only route is the general rights channel (consent withdrawal, deletion on request by email). The policy does not say whether a request stops device-level collection. General statement only: 'If you do not provide your personal information, we may not be able to provide you with our products or services' (not specific to diagnostics).</t>
  </si>
  <si>
    <t xml:space="preserve">aqara-w200.device-usage-history-sent-to-aqara-services</t>
  </si>
  <si>
    <t xml:space="preserve">Device usage history sent to Aqara services</t>
  </si>
  <si>
    <t xml:space="preserve">pat:usageEfficiency</t>
  </si>
  <si>
    <t xml:space="preserve">ck-976049b7</t>
  </si>
  <si>
    <t xml:space="preserve">You can ask Aqara to delete your data or withdraw your consent by emailing privacy@Lumiunited.com; the policy describes no in-app switch for usage history.</t>
  </si>
  <si>
    <t xml:space="preserve">usage-data-usage-efficiency-transfer-aqara-service</t>
  </si>
  <si>
    <t xml:space="preserve">Round 3: Policy lists 'usage history' among data collected from IoT devices with no opt-out; the only route is the general rights channel. Not stated whether a request stops collection, or whether any feature depends on usage history.</t>
  </si>
  <si>
    <t xml:space="preserve">aqara-w200.wi-fi-network-technical-telemetry-sent-to-aqara</t>
  </si>
  <si>
    <t xml:space="preserve">Wi-Fi / network technical telemetry sent to Aqara</t>
  </si>
  <si>
    <t xml:space="preserve">pat:networkTelemetry</t>
  </si>
  <si>
    <t xml:space="preserve">You can ask Aqara to delete your data or withdraw your consent by emailing privacy@Lumiunited.com; the policy describes no in-app switch for Wi-Fi information.</t>
  </si>
  <si>
    <t xml:space="preserve">network-telemetry-diagnostics-and-maintenance-transfer-aqara-service</t>
  </si>
  <si>
    <t xml:space="preserve">Round 3: Policy lists 'Wi-Fi List Information' among automatically collected data with no opt-out; only the general rights channel applies. Not stated whether a request stops collection or whether any feature depends on it.</t>
  </si>
  <si>
    <t xml:space="preserve">aqara-w200.mac-device-identifier-sent-to-aqara</t>
  </si>
  <si>
    <t xml:space="preserve">MAC / device identifier sent to Aqara</t>
  </si>
  <si>
    <t xml:space="preserve">ck-f2c2d35a</t>
  </si>
  <si>
    <t xml:space="preserve">You can ask Aqara to delete your data or withdraw your consent by emailing privacy@Lumiunited.com; the policy describes no in-app switch for device identifiers.</t>
  </si>
  <si>
    <t xml:space="preserve">identifier-data-diagnostics-and-maintenance-transfer-aqara-service</t>
  </si>
  <si>
    <t xml:space="preserve">Round 3: Policy lists 'Mac address' among automatically collected data with no opt-out; only the general rights channel applies. A device identifier is plausibly needed to link the device to the account, but no page says so.</t>
  </si>
  <si>
    <t xml:space="preserve">aqara-w200.installation-pairing-location-metadata-device-location-region-city</t>
  </si>
  <si>
    <t xml:space="preserve">Installation / pairing location metadata (device location, region/city/timezone)</t>
  </si>
  <si>
    <t xml:space="preserve">ppd:locationData</t>
  </si>
  <si>
    <t xml:space="preserve">ck-3a2fb945</t>
  </si>
  <si>
    <t xml:space="preserve">Location details are provided during pairing or setup.</t>
  </si>
  <si>
    <t xml:space="preserve">location-data-device-setup-collection-aqara-service</t>
  </si>
  <si>
    <t xml:space="preserve">Round 3: Policy: 'We may need your location information for installing, activating and managing your Aqara devices.' The wording is hedged ('may need'), so necessity is left unknown rather than required_for_feature.</t>
  </si>
  <si>
    <t xml:space="preserve">aqara-w200.precise-mobile-geolocation-collected-for-location-based-analysis</t>
  </si>
  <si>
    <t xml:space="preserve">Precise mobile geolocation collected for location-based analysis/marketing when separately consented</t>
  </si>
  <si>
    <t xml:space="preserve">pat:locationBasedMarketing</t>
  </si>
  <si>
    <t xml:space="preserve">ck-3795499e</t>
  </si>
  <si>
    <t xml:space="preserve">when separately consented</t>
  </si>
  <si>
    <t xml:space="preserve">Precise location is collected only if you separately consent.</t>
  </si>
  <si>
    <t xml:space="preserve">location-data-location-based-marketing-collection-aqara-service</t>
  </si>
  <si>
    <t xml:space="preserve">Round 3: Necessity is inferred from what the flow does; no source states it.</t>
  </si>
  <si>
    <t xml:space="preserve">level-lock.setup-bluetooth-matter-pairing-credential-or-setup-code</t>
  </si>
  <si>
    <t xml:space="preserve">level-lock</t>
  </si>
  <si>
    <t xml:space="preserve">Level Lock (Smart Door Lock)</t>
  </si>
  <si>
    <t xml:space="preserve">smart_lock</t>
  </si>
  <si>
    <t xml:space="preserve">Smart door lock</t>
  </si>
  <si>
    <t xml:space="preserve">Setup: Bluetooth/Matter pairing credential or setup code</t>
  </si>
  <si>
    <t xml:space="preserve">pat:pairingCredentialData</t>
  </si>
  <si>
    <t xml:space="preserve">add the lock</t>
  </si>
  <si>
    <t xml:space="preserve">You enter or scan the pairing/setup code when adding the lock.</t>
  </si>
  <si>
    <t xml:space="preserve">level-lock.src1; level-lock.src13; level-lock.src23</t>
  </si>
  <si>
    <t xml:space="preserve">pairing-credential-data-device-setup-collection-household-context</t>
  </si>
  <si>
    <t xml:space="preserve">Round 3: src1 (Matter add-to-ecosystem article) and all other level.co/support/articles/* pages returned fetch errors every attempt, so not re-read. Control type kept (setup_step). Necessity inferred: the lock cannot be added to the Level Home app or a smart-home app without pairing. Apple supplement says to activate the lock in the Level Home app and to enable HomeKit at setup for Home Key; Seam-hosted manual says a HomeKit-first add needs a factory reset and there is a 30-minute window to add to the Level Home app (Level Lock+ HomeKit generation). Model note: Matter-generation locks (Level Lock+ Matter, Bolt, Lock, Lock Pro) use a Matter setup code; older Level Lock+ used a HomeKit code. Quote (from a summarised fetch, unverified): "Download the Level Home app on your iPhone, create an account, and follow the on-screen instructions to activate your lock." (Level-Lock-Plus_Supplement-For-Apple-Users.pdf)</t>
  </si>
  <si>
    <t xml:space="preserve">level-lock.setup-level-home-app-account-identifiers</t>
  </si>
  <si>
    <t xml:space="preserve">Setup: Level Home app account identifiers</t>
  </si>
  <si>
    <t xml:space="preserve">pat:levelService</t>
  </si>
  <si>
    <t xml:space="preserve">create an account</t>
  </si>
  <si>
    <t xml:space="preserve">You create a Level account in the Level Home app when you set up your lock.</t>
  </si>
  <si>
    <t xml:space="preserve">level-lock.src2; level-lock.src6; level-lock.src13; level-lock.src22; level-lock.src12</t>
  </si>
  <si>
    <t xml:space="preserve">identifier-data-account-setup-collection-level-service</t>
  </si>
  <si>
    <t xml:space="preserve">Round 3: Control type kept (setup_step). Necessity: Level's Apple supplement and Ring's Level setup page both say to create an account in the Level Home app to activate/set up the lock; feature = activating and using the lock through the Level Home app. Privacy statement says the account collects name, address, email and mobile number (wider than 'identifiers'). Recovery-key article: lock is linked to your account only; account deletion is by request; recovery key shown once and not stored by Level. Deletion/data-request channel: privacy@level.co or 1-833-453-8354. src2 not re-read (fetch error). Not checked: whether a Matter-only setup (no Level account) is possible. Quote (from a summarised fetch, unverified): "When you create a Level account, we collect and store your name, address, email address and mobile phone number." (legal)</t>
  </si>
  <si>
    <t xml:space="preserve">level-lock.household-member-guest-access-grant-and-role-assignment</t>
  </si>
  <si>
    <t xml:space="preserve">Household member / guest access grant and role assignment</t>
  </si>
  <si>
    <t xml:space="preserve">pat:householdMemberAccessGrant</t>
  </si>
  <si>
    <t xml:space="preserve">pat:accessSharing</t>
  </si>
  <si>
    <t xml:space="preserve">ck-f068902f</t>
  </si>
  <si>
    <t xml:space="preserve">share access</t>
  </si>
  <si>
    <t xml:space="preserve">This happens only when you choose to add someone as a household member or guest in the Level Home app.</t>
  </si>
  <si>
    <t xml:space="preserve">level-lock.src3; level-lock.src7; level-lock.src6; level-lock.src20</t>
  </si>
  <si>
    <t xml:space="preserve">household-member-access-grant-access-sharing-collection-level-service</t>
  </si>
  <si>
    <t xml:space="preserve">Round 3: Sharing is an owner action; nothing flows if the owner does not add anyone. src3 (admin-vs-guest) could not be re-read (fetch error), so the exact role names/permissions are unverified here. Sharing story: guests added in app get 'always or temporary access'; keycard permissions can be removed via the app (verbatim); removal of app guests via the app per fetch summary only. Privacy statement frames it as optional ('may provide you with the ability'). Model note: event passes (time-limited) appear on Level Lock/Bolt/Pro pages; keypad needs the optional Keypad accessory. Necessity is inferred from what the flow does; no source states it. Quote (from a summarised fetch, unverified): "Level may provide you with the ability to share access to your Level Products and Services with other individuals" (legal)</t>
  </si>
  <si>
    <t xml:space="preserve">level-lock.lock-unlock-event-recorded-by-the-lock</t>
  </si>
  <si>
    <t xml:space="preserve">Lock/unlock event recorded by the lock</t>
  </si>
  <si>
    <t xml:space="preserve">pat:lockMechanism</t>
  </si>
  <si>
    <t xml:space="preserve">ck-79faaa81</t>
  </si>
  <si>
    <t xml:space="preserve">level-lock.src4; level-lock.src8; level-lock.src6; level-lock.src23</t>
  </si>
  <si>
    <t xml:space="preserve">usage-data-access-control-collection-household-context</t>
  </si>
  <si>
    <t xml:space="preserve">Round 3: Feature depending on it: the activity history / last-action display. No setting to turn event recording off found. Checked: privacy statement (level.co/legal), Level Lock/Bolt/Pro product pages, Level Connect and Keypad datasheets, Level press releases, App Store listing, Seam-hosted manual. Only lever found: privacy statement says 'some information is processed and stored directly on the Level device' and can be deleted by resetting the device to defaults (a deletion, not a limit). CAVEAT: level.co/support/articles/* (incl. src4) returned fetch errors on every attempt, so a support-centre setting could exist. Not stated whether physical-key or auto-lock events are logged the same way; privacy says mechanical operation is recorded and communicated. Necessity set to optional: the lock still locks and unlocks without recording events; the activity-history display depends on it. Necessity is inferred from what the flow does; no source states it. Quote (from a summarised fetch, unverified): "View lock usage from your mobile app (unlocks/locks, users)" (Prosumer-Lock-Connect-Front-1.pdf)</t>
  </si>
  <si>
    <t xml:space="preserve">level-lock.lock-unlock-activity-communicated-to-level-services</t>
  </si>
  <si>
    <t xml:space="preserve">Lock/unlock activity communicated to Level services</t>
  </si>
  <si>
    <t xml:space="preserve">pat:activityHistory</t>
  </si>
  <si>
    <t xml:space="preserve">retention=ppd:indefinite</t>
  </si>
  <si>
    <t xml:space="preserve">ck-2e4b45cc</t>
  </si>
  <si>
    <t xml:space="preserve">communicates that information to the Level Services</t>
  </si>
  <si>
    <t xml:space="preserve">You can ask Level to access or delete your Level data by emailing privacy@level.co or calling 1-833-453-8354.</t>
  </si>
  <si>
    <t xml:space="preserve">level-lock.src4; level-lock.src6; level-lock.src8; level-lock.src9; level-lock.src19</t>
  </si>
  <si>
    <t xml:space="preserve">usage-data-activity-history-transfer-level-service</t>
  </si>
  <si>
    <t xml:space="preserve">Round 3: Control channel is the privacy statement's data-request route (privacy@level.co / 1-833-453-8354) and account deletion; the statement does not say a request stops collection, only that data is kept 'until you choose to remove it or delete your account'. Necessity optional because Level says the lock works over Bluetooth without internet, and remote activity viewing needs the Level Connect Wi-Fi Bridge or a Matter-over-Thread hub (feature = viewing activity history from anywhere). Unclear whether the phone relays events to Level when no Connect/hub is present. RETENTION: no retention period for activity history found in any public source (privacy statement: stores personal information 'until you delete or edit it'; some data kept for legal/tax reasons). The row note that 'true retention is bounded' is not supported by what I could read. Model note: Level Connect (formerly Level Lock+ Connect) works with Lock+, Lock, Bolt and Pro; no difference found in this flow. Quote (from a summarised fetch, unverified): "it records and communicates that information to the Level Services so that you may see an updated status of your product." (legal) Earlier note: Placeholder: true retention is bounded, recorded as ppd:indefinite until a bounded-retention form is agreed.</t>
  </si>
  <si>
    <t xml:space="preserve">level-lock.activity-event-history-displayed-to-authorized-household-admins</t>
  </si>
  <si>
    <t xml:space="preserve">Activity event/history displayed to authorized household admins/users</t>
  </si>
  <si>
    <t xml:space="preserve">ppd:vendorProvided</t>
  </si>
  <si>
    <t xml:space="preserve">ck-7bfe63a4</t>
  </si>
  <si>
    <t xml:space="preserve">level-lock.src3; level-lock.src6; level-lock.src8; level-lock.src16; level-lock.src21</t>
  </si>
  <si>
    <t xml:space="preserve">usage-data-activity-history-use-household-context</t>
  </si>
  <si>
    <t xml:space="preserve">Round 3: Feature = the activity history feed itself (advertised as standard: 'activity history'). No per-person or per-role setting to hide activity found; the only lever is the owner's choice of whom to add/remove (see row 4). Privacy statement says an Authorized User agrees the Owner may access information collected about their use. Checked: privacy statement, product pages, Level Connect/Keypad datasheets, App Store listing, press releases. CAVEAT: src3 (admin-vs-guest) and other support-centre pages were unreachable (fetch errors), so role-based visibility (e.g. whether guests see history) could not be confirmed. Necessity set to optional: the lock works without the activity feed; the feed itself is the feature that depends on it. Necessity is inferred from what the flow does; no source states it. Quote (from a summarised fetch, unverified): "access and use information collected in connection with your use of the Level Products and Services" (legal)</t>
  </si>
  <si>
    <t xml:space="preserve">level-lock.actor-method-identifier-displayed-with-access-event</t>
  </si>
  <si>
    <t xml:space="preserve">Actor / method identifier displayed with access event</t>
  </si>
  <si>
    <t xml:space="preserve">ck-1388791b</t>
  </si>
  <si>
    <t xml:space="preserve">level-lock.src8; level-lock.src6; level-lock.src16</t>
  </si>
  <si>
    <t xml:space="preserve">identifier-data-activity-history-use-household-context</t>
  </si>
  <si>
    <t xml:space="preserve">Round 3: Sources show the feed identifies users ('users' in Level's datasheet; names and profile photos shown to people you share access with). The method of entry (key code, fob, Home Key, app, physical key) is not confirmed by any source I could read. No setting to hide the actor identity found. Necessity unknown: no source says whether the history works without identifiers. CAVEAT: support-centre articles were unreachable (fetch errors). Quote (from a summarised fetch, unverified): "View lock usage from your mobile app (unlocks/locks, users)" (Prosumer-Lock-Connect-Front-1.pdf)</t>
  </si>
  <si>
    <t xml:space="preserve">level-lock.guest-authorized-user-contact-information-collected-for-access</t>
  </si>
  <si>
    <t xml:space="preserve">Guest / authorized-user contact information collected for access sharing</t>
  </si>
  <si>
    <t xml:space="preserve">email address or mobile phone number</t>
  </si>
  <si>
    <t xml:space="preserve">This happens only when you choose to invite someone, and Level asks for their email address or mobile phone number to send the invitation.</t>
  </si>
  <si>
    <t xml:space="preserve">level-lock.src6; level-lock.src7</t>
  </si>
  <si>
    <t xml:space="preserve">identifier-data-access-sharing-collection-level-service</t>
  </si>
  <si>
    <t xml:space="preserve">Round 3: Privacy statement states the contact detail request and that Level stores it to send the invitation, register the person if they accept, and track invitation success. Sharing story says app guests get an invitation to download the app and that keypad-code guests need no app, so no contact detail is needed for codes. The sharing story did not itself name which contact details are used. Not stated: how long invitee contact info is retained. Necessity is inferred from what the flow does; no source states it. Quote (from a summarised fetch, unverified): "We will ask you for the email address or mobile phone number of any such individuals" (legal)</t>
  </si>
  <si>
    <t xml:space="preserve">level-lock.pass-keypad-code-access-credential-provisioning</t>
  </si>
  <si>
    <t xml:space="preserve">Pass / keypad-code / access credential provisioning</t>
  </si>
  <si>
    <t xml:space="preserve">Add people, passes, and Keypad codes on the Level App.</t>
  </si>
  <si>
    <t xml:space="preserve">This happens only when you choose to create a pass or keypad code for someone in the Level Home app.</t>
  </si>
  <si>
    <t xml:space="preserve">level-lock.src10; level-lock.src14; level-lock.src15; level-lock.src7; level-lock.src24; level-lock.src12</t>
  </si>
  <si>
    <t xml:space="preserve">Round 3: Keypad is an optional accessory, so keypad codes are optional; passes/event passes are an optional sharing feature. Keypad datasheet says Level Connect enables remote operation and keypad code updates. Where codes are stored (lock vs Level cloud) is not stated, so handling_context pat:levelService is unverified. Factory reset 'clears any linked access credentials' (recovery-key article). Model note: Keypad is compatible with all Level locks; Level Lock Pro/Lock/Bolt pages mention event passes. Quote (from a summarised fetch, unverified): "Add people, passes, and Keypad codes on the Level App." (level-bolt)</t>
  </si>
  <si>
    <t xml:space="preserve">level-lock.mobile-geolocation-collected-for-home-away-boundary-features</t>
  </si>
  <si>
    <t xml:space="preserve">Mobile geolocation collected for Home/Away boundary features</t>
  </si>
  <si>
    <t xml:space="preserve">pat:autoUnlock</t>
  </si>
  <si>
    <t xml:space="preserve">pat:mobileLocationService</t>
  </si>
  <si>
    <t xml:space="preserve">ck-83dae5df</t>
  </si>
  <si>
    <t xml:space="preserve">you may choose to share location data</t>
  </si>
  <si>
    <t xml:space="preserve">You choose whether to share your phone's location with the Level app by granting location permission, and Auto-Unlock can be switched on or off in the lock's settings in the app.</t>
  </si>
  <si>
    <t xml:space="preserve">level-lock.src6; level-lock.src16; level-lock.src17</t>
  </si>
  <si>
    <t xml:space="preserve">location-data-auto-unlock-collection-level-service</t>
  </si>
  <si>
    <t xml:space="preserve">Round 3: Level's privacy statement ties app location to arrive/leave-home notifications and says sharing is a choice; it does not name Auto-Unlock and does not say how to withdraw the permission. Auto-Unlock toggle and 'Always' location requirement come only from Trunetto (third party, not affiliated; seen on two fetches) so the second half of the control note rests on a secondary source. Apple privacy label (developer-declared, unverified by Apple) lists Precise and Coarse Location for App Functionality and Coarse Location for Analytics, linked to the user - analytics use of location is not described in the privacy statement. California notice lists 'precise geolocation of the Level Product' as sensitive personal information. Necessity optional: location is an opt-in permission and the lock still works without it; Auto-Unlock / arrival notifications are the features that need it. Model note: Auto lock/unlock listed for Level Lock, Lock+, Bolt and Lock Pro; MacRumors says Pro Auto Unlock 'uses Bluetooth and unlocks when you're in range'. Quote (from a summarised fetch, unverified): "For a better user experience in Level mobile apps, you may choose to share location data from your mobile device." (legal)</t>
  </si>
  <si>
    <t xml:space="preserve">level-lock.geofence-state-used-for-auto-unlock-touch-to</t>
  </si>
  <si>
    <t xml:space="preserve">Geofence state used for Auto Unlock / Touch to Unlock</t>
  </si>
  <si>
    <t xml:space="preserve">pat:geofenceState</t>
  </si>
  <si>
    <t xml:space="preserve">ck-4daa844f</t>
  </si>
  <si>
    <t xml:space="preserve">enable auto lock and unlock</t>
  </si>
  <si>
    <t xml:space="preserve">You can turn Auto-Unlock on or off in the lock's settings in the Level app.</t>
  </si>
  <si>
    <t xml:space="preserve">level-lock.src11; level-lock.src9; level-lock.src10; level-lock.src20; level-lock.src17; level-lock.src18</t>
  </si>
  <si>
    <t xml:space="preserve">geofence-state-auto-unlock-use-level-service</t>
  </si>
  <si>
    <t xml:space="preserve">Round 3: Level's own pages describe Auto Lock/Unlock as an app feature users 'enable' and say it locks when you leave and unlocks when you return, but never mention a geofence; geofence details (about 200-300 m, set by the app; unlock sent over Bluetooth, 'not WiFi') and the toggle path (tap lock &gt; Settings &gt; Auto-Unlock) come only from Trunetto (third party). Evidence is therefore low-confidence for the 'geofence state' wording. HANDLING_CONTEXT looks questionable: Trunetto says the app sets the geofence and the command goes over Bluetooth, which suggests on-phone/lock processing rather than Level's service; no Level source says where the geofence is evaluated. CAVEAT: support article 'How to set up Auto Lock' (level.co/support/articles/how-to-set-up-auto-lock/) and others returned fetch errors. Quote (from a summarised fetch, unverified): "Automatically locks when you leave home and vice versa." (level-bolt)</t>
  </si>
  <si>
    <t xml:space="preserve">level-lock.home-address-zip-supplied-during-setup</t>
  </si>
  <si>
    <t xml:space="preserve">Home address / ZIP supplied during setup</t>
  </si>
  <si>
    <t xml:space="preserve">we'll ask for information like your home address or ZIP code</t>
  </si>
  <si>
    <t xml:space="preserve">You enter your home address or ZIP code during setup.</t>
  </si>
  <si>
    <t xml:space="preserve">level-lock.src6; level-lock.src16</t>
  </si>
  <si>
    <t xml:space="preserve">location-data-device-setup-collection-level-service</t>
  </si>
  <si>
    <t xml:space="preserve">Round 3: Privacy statement says setup asks for home address or ZIP, and says setup info is used to customise the experience, for example arrival notifications (paraphrase from fetch summary). No source says whether the field can be skipped or edited later, so necessity is unknown. Apple label lists Physical Address under Contact Info for App Functionality. Account creation separately collects 'address' per privacy statement - may overlap. California notice lists 'precise geolocation of the Level Product' as sensitive personal information. Control type kept (setup_step); editing later is unverified (support articles unreachable). Quote (from a summarised fetch, unverified): "For example, we'll ask for information like your home address or ZIP code, and to upload a photo of your door/home." (legal)</t>
  </si>
  <si>
    <t xml:space="preserve">level-lock.door-home-photo-supplied-during-setup</t>
  </si>
  <si>
    <t xml:space="preserve">Door / home photo supplied during setup</t>
  </si>
  <si>
    <t xml:space="preserve">ck-5e0af9dd</t>
  </si>
  <si>
    <t xml:space="preserve">upload a photo of your door/home</t>
  </si>
  <si>
    <t xml:space="preserve">You add a door or home photo during setup.</t>
  </si>
  <si>
    <t xml:space="preserve">level-lock.src6</t>
  </si>
  <si>
    <t xml:space="preserve">visual-data-device-setup-collection-level-service</t>
  </si>
  <si>
    <t xml:space="preserve">Round 3: Same privacy-statement sentence as row 13; the photo's specific purpose is not separately stated and nothing says it can be skipped. Distinct from the optional account profile photo ('name and profile photo'), which is shown to people you share access with. Apple label lists no photo category (only 'Customer Support' user content), so storage on Level servers is not independently confirmed. Control type kept (setup_step); support articles unreachable. Quote (from a summarised fetch, unverified): "For example, we'll ask for information like your home address or ZIP code, and to upload a photo of your door/home." (legal)</t>
  </si>
  <si>
    <t xml:space="preserve">level-lock.remote-lock-unlock-command-through-level-app</t>
  </si>
  <si>
    <t xml:space="preserve">Remote lock/unlock command through Level app</t>
  </si>
  <si>
    <t xml:space="preserve">pat:remoteAccessControl</t>
  </si>
  <si>
    <t xml:space="preserve">lock or unlock your door remotely</t>
  </si>
  <si>
    <t xml:space="preserve">This happens only when you send a lock or unlock command from the Level Home app while away, which needs a Level Connect Wi-Fi Bridge or a Matter-over-Thread hub.</t>
  </si>
  <si>
    <t xml:space="preserve">level-lock.src6; level-lock.src21; level-lock.src9; level-lock.src11; level-lock.src19; level-lock.src15</t>
  </si>
  <si>
    <t xml:space="preserve">lock-control-command-remote-access-control-collection-level-service</t>
  </si>
  <si>
    <t xml:space="preserve">Round 3: Optional: Level says the lock keeps working over Bluetooth without internet; remote use is an add-on needing Level Connect or a Matter hub. Model/handling note: with a Matter hub (Apple Home/Google/Alexa) the remote path can run through the ecosystem and not Level's service (Level Bolt page: 'unlock your home remotely via Matter'; MacRumors: Level Connect not needed with HomePod/Apple TV), so handling_context pat:levelService only applies to the Level Connect path. Level Lock Pro/Lock/Bolt pages all state the requirement. Quote (from a summarised fetch, unverified): "lock or unlock your door remotely using the intuitive Level Home app" (convenience-level-lock-plus-connect)</t>
  </si>
  <si>
    <t xml:space="preserve">level-lock.lock-state-activity-returned-to-level-service</t>
  </si>
  <si>
    <t xml:space="preserve">Lock state / activity returned to Level service</t>
  </si>
  <si>
    <t xml:space="preserve">pat:lockState</t>
  </si>
  <si>
    <t xml:space="preserve">ck-5aedaaf3</t>
  </si>
  <si>
    <t xml:space="preserve">see an updated status of your product</t>
  </si>
  <si>
    <t xml:space="preserve">level-lock.src6; level-lock.src8; level-lock.src9</t>
  </si>
  <si>
    <t xml:space="preserve">lock-state-remote-access-control-transfer-level-service</t>
  </si>
  <si>
    <t xml:space="preserve">Round 3: Privacy statement: operating the product mechanically or remotely is recorded and communicated to the Level Services so you see an updated status. Level Connect Wi-Fi Bridge adds real-time features such as knowing whether the door is open or closed (Lock Pro page); Level Connect is an optional accessory, so optional (feature = remote/real-time lock status). External-request channel is the generic data-request route; the statement does not say a request stops the status upload. Unclear whether phone-relayed (Bluetooth only) setups also upload state. Model note: door open/closed status is a Level Lock Pro sensor feature and may deserve its own row. Quote (from a summarised fetch, unverified): "it records and communicates that information to the Level Services so that you may see an updated status of your product." (legal)</t>
  </si>
  <si>
    <t xml:space="preserve">level-lock.matter-ecosystem-lock-unlock-command-received</t>
  </si>
  <si>
    <t xml:space="preserve">Matter ecosystem lock/unlock command received</t>
  </si>
  <si>
    <t xml:space="preserve">by phone, voice, or smart routine</t>
  </si>
  <si>
    <t xml:space="preserve">This happens only when you (or an automation you set up) send a lock or unlock command from a smart home app such as Apple Home, Google Home, Amazon Alexa or SmartThings.</t>
  </si>
  <si>
    <t xml:space="preserve">level-lock.src5; level-lock.src9; level-lock.src13; level-lock.src18; level-lock.src19; level-lock.src25</t>
  </si>
  <si>
    <t xml:space="preserve">lock-control-command-ecosystem-integration-collection-household-context</t>
  </si>
  <si>
    <t xml:space="preserve">Round 3: src5 not re-read (fetch error); evidence kept. Level lists Apple Home, Google Home, Amazon Alexa and SmartThings via Matter-over-Thread; scenes can lock/unlock 'based on time or activity (through supported Matter platform)'. Necessity optional: Level Home app and Bluetooth/keys work without ecosystems; BUT Apple Home Key depends on enabling HomeKit at setup (Apple supplement), so Home Key users effectively need the Apple Home link. Model notes: Home Key is advertised for Level Lock+ and Level Lock Pro (Bolt page does not mention it); Level says an existing (older) Level Bolt cannot be updated to Matter, while current locks have Matter-over-Thread built in; non-Apple platforms need a Matter-over-Thread hub. Necessity is inferred from what the flow does; no source states it. Quote (from a summarised fetch, unverified): "Lock and unlock your door your way—by phone, voice, or smart routine." (level-lock-pro)</t>
  </si>
  <si>
    <t xml:space="preserve">level-lock.lock-state-shared-with-matter-ecosystem</t>
  </si>
  <si>
    <t xml:space="preserve">Lock state shared with Matter ecosystem</t>
  </si>
  <si>
    <t xml:space="preserve">ck-e8b6b621</t>
  </si>
  <si>
    <t xml:space="preserve">Home app Activity log</t>
  </si>
  <si>
    <t xml:space="preserve">This happens only if you add your lock to a smart home app such as Apple Home, Google Home, Amazon Alexa or SmartThings.</t>
  </si>
  <si>
    <t xml:space="preserve">level-lock.src18; level-lock.src9; level-lock.src16</t>
  </si>
  <si>
    <t xml:space="preserve">lock-state-ecosystem-integration-transfer-smart-home-ecosystem</t>
  </si>
  <si>
    <t xml:space="preserve">Round 3: Level's own pages never say in so many words that lock state is sent to the ecosystem; they say the lock works with these platforms and scenes can run 'based on time or activity'. The direct support is secondary: MacRumors (Level Lock Pro, Apple Home) says the Home app notifies when a connected lock is locked or unlocked and its Activity log records each lock/unlock. src1 (add-to-ecosystem article) was unreadable, so how to remove the lock from an ecosystem is not documented here and the control note makes no removal claim. Door open/closed status (Lock Pro) may also be shared and could be a separate row. Evidence upgraded with low-medium confidence. Necessity is inferred from what the flow does; no source states it. Quote (from a summarised fetch, unverified): "Home app Activity log keeps track of when each door was locked or unlocked" (level-lock-pro)</t>
  </si>
  <si>
    <t xml:space="preserve">level-lock.device-software-battery-status-telemetry-sent-to-level</t>
  </si>
  <si>
    <t xml:space="preserve">Device software / battery / status telemetry sent to Level</t>
  </si>
  <si>
    <t xml:space="preserve">software version, and technical information such as battery level</t>
  </si>
  <si>
    <t xml:space="preserve">diagnostic-data-diagnostics-and-maintenance-transfer-level-service</t>
  </si>
  <si>
    <t xml:space="preserve">Round 3: Privacy statement gives the purpose as improving the experience and troubleshooting; it has no diagnostics/firmware section, so src6 supports battery level and software version but does not mention firmware updates. No opt-out for this telemetry found; only the generic data-request channel (does not say it stops collection). Apple label lists Diagnostics (Crash, Performance, Other) linked to the user for Analytics and App Functionality (app-side telemetry, may be separate from lock telemetry). Necessity unknown: no source says whether any feature depends on it (app shows battery status per release notes, but the transport path is not stated). Quote (from a summarised fetch, unverified): "we record your Level Product model and serial number, software version, and technical information such as battery level." (legal)</t>
  </si>
  <si>
    <t xml:space="preserve">level-lock.device-serial-stable-device-identifier-sent-to-level</t>
  </si>
  <si>
    <t xml:space="preserve">Device serial / stable device identifier sent to Level</t>
  </si>
  <si>
    <t xml:space="preserve">Level Product model and serial number</t>
  </si>
  <si>
    <t xml:space="preserve">level-lock.src6; level-lock.src16; level-lock.src12</t>
  </si>
  <si>
    <t xml:space="preserve">identifier-data-diagnostics-and-maintenance-transfer-level-service</t>
  </si>
  <si>
    <t xml:space="preserve">Round 3: Privacy statement says Level records the product model and serial number. Not stated whether it is sent on every connection or only when the lock is registered to your account (recovery-key article: the lock is linked to your account). Apple label lists User ID and Device ID as identifiers for App Functionality and Analytics (app/phone IDs, not necessarily the lock serial). No opt-out found; generic data-request channel only. Necessity unknown: the lock-to-account link plausibly depends on it but no source says so. Quote (from a summarised fetch, unverified): "we record your Level Product model and serial number, software version, and technical information such as battery level." (legal)</t>
  </si>
  <si>
    <t xml:space="preserve">level-lock.bluetooth-identifying-signal-broadcast-for-nearby-connection</t>
  </si>
  <si>
    <t xml:space="preserve">Bluetooth identifying signal broadcast for nearby connection</t>
  </si>
  <si>
    <t xml:space="preserve">pat:localConnectivity</t>
  </si>
  <si>
    <t xml:space="preserve">ck-415f2f33</t>
  </si>
  <si>
    <t xml:space="preserve">level-lock.src6; level-lock.src19; level-lock.src17</t>
  </si>
  <si>
    <t xml:space="preserve">identifier-data-local-connectivity-transfer-household-context</t>
  </si>
  <si>
    <t xml:space="preserve">Round 3: Feature depending on it: connecting the lock to your phone for app lock/unlock and Auto-Unlock (privacy statement says the signal 'is used to connect with your Bluetooth-enabled devices'; Level press stresses Bluetooth operation; Trunetto says Auto-Unlock needs Bluetooth). No setting to turn off the lock's Bluetooth broadcast found. Checked: privacy statement, product pages (Lock, Bolt, Lock Pro), Level Connect/Keypad datasheets, press releases, App Store listing. CAVEAT: level.co/support/articles/* unreachable (fetch errors), so a support-centre setting cannot be ruled out. Privacy statement does not say what the identifier is or whether it is rotating. Quote (from a summarised fetch, unverified): "Level Products are Bluetooth-enabled and broadcast an identifying signal wirelessly." (legal)</t>
  </si>
  <si>
    <t xml:space="preserve">level-lock.access-event-data-aggregated-inferred-for-product-research</t>
  </si>
  <si>
    <t xml:space="preserve">Access-event data aggregated / inferred for product research and service improvement</t>
  </si>
  <si>
    <t xml:space="preserve">pat:researchAndDevelopment</t>
  </si>
  <si>
    <t xml:space="preserve">ppd:inference</t>
  </si>
  <si>
    <t xml:space="preserve">ck-bb9073e6</t>
  </si>
  <si>
    <t xml:space="preserve">usage-data-research-and-development-inference-level-service</t>
  </si>
  <si>
    <t xml:space="preserve">Round 3: Privacy statement allows use of information in deidentified or aggregate form for any purpose including research, and uses information to provide, develop and improve products (excerpt). It does not mention access events specifically, so the evidence is general (low confidence). No opt-out for deidentified/aggregate use found in the privacy statement (including choices and California/other-states sections); the only opt-outs are Google Analytics and 'sales'/'sharing' to advertising/analytics providers via privacy@level.co, which is a different flow. Optional because it is not needed for lock features. Necessity is inferred from what the flow does; no source states it. Quote (from a summarised fetch, unverified): "in a deidentified form for any purpose, including but not limited to research purposes" (legal) Evidence left as needs_source: the privacy statement allows deidentified or aggregate use in general but does not mention access events.</t>
  </si>
  <si>
    <t xml:space="preserve">lg-oled65c6pua-c6.setup-wi-fi-network-credential-entered-during-tv</t>
  </si>
  <si>
    <t xml:space="preserve">lg-oled65c6pua-c6</t>
  </si>
  <si>
    <t xml:space="preserve">LG OLED65C6PUA C6 (Smart TV, webOS)</t>
  </si>
  <si>
    <t xml:space="preserve">smart_tv</t>
  </si>
  <si>
    <t xml:space="preserve">Smart TV</t>
  </si>
  <si>
    <t xml:space="preserve">Setup: Wi-Fi network credential entered during TV network setup</t>
  </si>
  <si>
    <t xml:space="preserve">You enter your Wi-Fi password when setting up the TV's network.</t>
  </si>
  <si>
    <t xml:space="preserve">lg-oled65c6pua-c6.src1; lg-oled65c6pua-c6.src6</t>
  </si>
  <si>
    <t xml:space="preserve">Round 3: Kept setup_step. Necessity inferred: network-based smart services (Content Store, streaming apps, voice settings) need an internet connection; a wired Ethernet connection could replace Wi-Fi so only the Wi-Fi credential itself is not strictly required. Existing source src1 is weak: the fetched page says only 'If your TV is connected to the internet, accessing the Content Store is easy' and does NOT mention Wi-Fi passwords or account creation (its 'covers' text overstates it). LG US Wi-Fi setup articles (lg-tv-how-to-connect-to-wifi--20153710347199, ...CT10000018-20153143434591) are JS shells and could not be read. Model-year: generic webOS pages, 'created for all models'. Quote (from a summarised fetch, unverified): "If your TV is connected to the internet, accessing the Content Store is easy." (lg-tvs-how-to-use-the-lg-content-store-with-webo)</t>
  </si>
  <si>
    <t xml:space="preserve">lg-oled65c6pua-c6.setup-lg-account-identifiers-used-for-smart-services</t>
  </si>
  <si>
    <t xml:space="preserve">Setup: LG account identifiers used for smart services / app installation</t>
  </si>
  <si>
    <t xml:space="preserve">pat:lgService</t>
  </si>
  <si>
    <t xml:space="preserve">required to access network-based smart services</t>
  </si>
  <si>
    <t xml:space="preserve">You need an LG account to use the TV's network-based smart services such as apps.</t>
  </si>
  <si>
    <t xml:space="preserve">lg-oled65c6pua-c6.src1; lg-oled65c6pua-c6.src3; lg-oled65c6pua-c6.src4; lg-oled65c6pua-c6.src8</t>
  </si>
  <si>
    <t xml:space="preserve">identifier-data-account-setup-collection-lg-service</t>
  </si>
  <si>
    <t xml:space="preserve">Round 3: Kept setup_step as given, but no source I could read says the sign-in happens ONLY during setup; LG Content Store page says only 'Ensure you are signed in to your LG account' and US User Agreements page says agreements can be reviewed later at Settings &gt; Privacy &amp; Terms &gt; User Agreements. Necessity: product page and LG Canada AI playbook both say an LG account is required for network-based smart services; US help article says Terms of Use and Privacy Policy are required for smart services such as Netflix and YouTube and 'If you decline the required agreements, smart services will remain unavailable.' Basic TV functions (HDMI inputs, live TV) are not stated to need the account. Product-page quote seen once; Canada/Malaysia AI-playbook quote seen on two pages (regional, not US). Quote (from a summarised fetch, unverified): "LG account required to access our network-based smart services." (lg-oled65c6pua-oled-4k-tv)</t>
  </si>
  <si>
    <t xml:space="preserve">lg-oled65c6pua-c6.ambient-light-sensing-for-picture-viewing-adaptation</t>
  </si>
  <si>
    <t xml:space="preserve">Ambient-light sensing for picture / viewing adaptation</t>
  </si>
  <si>
    <t xml:space="preserve">pat:displayAdaptation</t>
  </si>
  <si>
    <t xml:space="preserve">pat:ambientLightSensor</t>
  </si>
  <si>
    <t xml:space="preserve">TV sensor detects the ambient lighting</t>
  </si>
  <si>
    <t xml:space="preserve">You can set Energy Saving to Off so the TV no longer adjusts screen brightness automatically from its ambient-light sensor.</t>
  </si>
  <si>
    <t xml:space="preserve">lg-oled65c6pua-c6.src5</t>
  </si>
  <si>
    <t xml:space="preserve">environment-data-display-adaptation-collection-household-context</t>
  </si>
  <si>
    <t xml:space="preserve">Round 3: LG US Energy Saving page: 'Auto' step uses the TV sensor to detect ambient lighting and adjust brightness; 'Off' turns the step off; 'Some models may not be supported'. Menu paths on that page are for 2020-2022 (webOS 5.0/6.0/22): e.g. All Settings &gt; Support &gt; OLED Care &gt; Device Self Care &gt; Energy Saving Steps; the C6 (2026, webOS 26) menu path is NOT confirmed. Other picture features (e.g. AI Picture, Filmmaker Mode with ambient light) may also use the sensor and no separate sensor on/off is documented. No source says ambient-light readings leave the TV; the flow appears local. Product page only says 'FILMMAKER MODE with Ambient Light Technology' without describing a sensor. Quotes seen once each. Quote (from a summarised fetch, unverified): "Auto : TV sensor detects the ambient lighting and automatically adjusts the screen brightness." (lg-webos-tv-automatic-power-saving-mode-CT100000)</t>
  </si>
  <si>
    <t xml:space="preserve">lg-oled65c6pua-c6.user-activated-voice-audio-captured-by-tv-remote</t>
  </si>
  <si>
    <t xml:space="preserve">User-activated voice audio captured by TV / remote</t>
  </si>
  <si>
    <t xml:space="preserve">pat:audioData</t>
  </si>
  <si>
    <t xml:space="preserve">pat:voiceControl</t>
  </si>
  <si>
    <t xml:space="preserve">ck-9899e970</t>
  </si>
  <si>
    <t xml:space="preserve">only if a user activates a voice interaction</t>
  </si>
  <si>
    <t xml:space="preserve">This happens only when you activate a voice interaction, and voice recognition is off by default.</t>
  </si>
  <si>
    <t xml:space="preserve">lg-oled65c6pua-c6.src2; lg-oled65c6pua-c6.src9; lg-oled65c6pua-c6.src6</t>
  </si>
  <si>
    <t xml:space="preserve">audio-data-voice-control-collection-household-context</t>
  </si>
  <si>
    <t xml:space="preserve">Round 3: Changed unknown -&gt; user_initiated (first-match rule): LG says speech-to-text starts only when the user activates a voice interaction (wake word or voice/AI button); audio without a recognized wake word is not stored, converted to text or transmitted; wake-word detection is local; sessions limited to about 18 seconds; some models have a hardware mic switch. Voice recognition off by default (separate Voice Information agreement per Consumer Reports/LG statement summary; US help menu path for webOS 22/6.0: All Settings &gt; General &gt; AI Service &gt; Voice Recognition Settings &gt; Enable Voice Recognition - C6 menu not confirmed). Statement is general to LG smart TVs, not C6-specific. Quotes from US statement via WebFetch summary (off-by-default quote seen 3 times; activation quote seen once). Quote (from a summarised fetch, unverified): "Speech-to-text processing begins only if a user activates a voice interaction." (statement-understanding-privacy-on-lg-smart-tvs)</t>
  </si>
  <si>
    <t xml:space="preserve">lg-oled65c6pua-c6.voice-audio-transferred-for-speech-recognition-when-enabled</t>
  </si>
  <si>
    <t xml:space="preserve">Voice audio transferred for speech recognition when enabled</t>
  </si>
  <si>
    <t xml:space="preserve">pat:voiceRecognitionService</t>
  </si>
  <si>
    <t xml:space="preserve">ck-8e68d5b6</t>
  </si>
  <si>
    <t xml:space="preserve">off by default</t>
  </si>
  <si>
    <t xml:space="preserve">You can keep voice recognition turned off, and voice audio is processed only if you enable it and activate a voice interaction.</t>
  </si>
  <si>
    <t xml:space="preserve">lg-oled65c6pua-c6.src2; lg-oled65c6pua-c6.src9; lg-oled65c6pua-c6.src6; lg-oled65c6pua-c6.src10</t>
  </si>
  <si>
    <t xml:space="preserve">audio-data-voice-control-transfer-voice-recognition-service</t>
  </si>
  <si>
    <t xml:space="preserve">Round 3: Kept user_setting/optional. Declining optional agreements does not stop core smart-TV use (streaming apps, live TV, HDMI devices, software updates). Weak point: LG's statement does not explicitly say audio from an active session is sent to LG servers (it says only that no-wake-word audio 'is not transmitted' and that service providers support 'services such as voice recognition'); transfer is inferred from the need for an internet connection (voice settings menu not shown offline) and Consumer Reports' description of the Voice Information agreement. Menu paths on LG US help page are for 2020-2022 TVs; C6 path not confirmed. Quote (from a summarised fetch, unverified): "Voice recognition is off by default." (statement-understanding-privacy-on-lg-smart-tvs)</t>
  </si>
  <si>
    <t xml:space="preserve">lg-oled65c6pua-c6.voice-recognition-result-derived-from-activated-voice-interaction</t>
  </si>
  <si>
    <t xml:space="preserve">Voice-recognition result derived from activated voice interaction</t>
  </si>
  <si>
    <t xml:space="preserve">pat:voiceRecognitionResult</t>
  </si>
  <si>
    <t xml:space="preserve">ck-5a1e2fab</t>
  </si>
  <si>
    <t xml:space="preserve">associated with specific voice interactions</t>
  </si>
  <si>
    <t xml:space="preserve">This happens only when you activate a voice command; LG says the records do not indicate continuous recording.</t>
  </si>
  <si>
    <t xml:space="preserve">lg-oled65c6pua-c6.src2; lg-oled65c6pua-c6.src9</t>
  </si>
  <si>
    <t xml:space="preserve">voice-recognition-result-voice-control-inference-voice-recognition-service</t>
  </si>
  <si>
    <t xml:space="preserve">Round 3: Changed unknown -&gt; user_initiated: LG says recognition results are generated as part of processing a voice command and are tied to specific voice interactions. Optional because voice recognition is off by default and optional agreements are not needed for core TV use. Same wording appears in the LG global statement (corroboration). Retention and recipients of results: not stated. Quote (from a summarised fetch, unverified): "Voice-recognition results and related technical logs may be generated as part of processing a voice command." (statement-understanding-privacy-on-lg-smart-tvs)</t>
  </si>
  <si>
    <t xml:space="preserve">lg-oled65c6pua-c6.voice-related-technical-logs-generated-sent-for-operation</t>
  </si>
  <si>
    <t xml:space="preserve">Voice-related technical logs generated / sent for operation and diagnostics</t>
  </si>
  <si>
    <t xml:space="preserve">pat:voiceTechnicalLog</t>
  </si>
  <si>
    <t xml:space="preserve">Voice-related technical logs are generated only as part of processing a voice command that you activate.</t>
  </si>
  <si>
    <t xml:space="preserve">voice-technical-log-diagnostics-and-maintenance-transfer-voice-recognition-service</t>
  </si>
  <si>
    <t xml:space="preserve">Round 3: Left needs_source: LG's US/global statement says technical logs 'may be generated as part of processing a voice command' and that they are tied to specific voice interactions, but it does NOT say the logs are transferred to LG, nor their purpose (diagnostics/operation), retention or recipients - so the 'transfer' action in the row is unsupported. The LG US privacy policy (privacy.us.lg.com, lg.com/us/privacy redirect) and Smart Media Product Membership Privacy Policy (us/gb.lgappstv.com/main/policyLink) are JS-only and could not be read; they might close the gap. control_type user_initiated is inferred from the statement (logs exist only per voice interaction); no separate setting for logs is documented. Optional inferred from voice being off by default. Quote (from a summarised fetch, unverified): "Voice-recognition results and related technical logs may be generated as part of processing a voice command." (statement-understanding-privacy-on-lg-smart-tvs)</t>
  </si>
  <si>
    <t xml:space="preserve">lg-oled65c6pua-c6.acr-audio-fingerprint-derived-from-program-audio-when</t>
  </si>
  <si>
    <t xml:space="preserve">ACR audio fingerprint derived from program audio when ACR is enabled</t>
  </si>
  <si>
    <t xml:space="preserve">pat:audioFingerprint</t>
  </si>
  <si>
    <t xml:space="preserve">pat:contentRecognition</t>
  </si>
  <si>
    <t xml:space="preserve">processing_boundary=ppd:onDeviceOnly</t>
  </si>
  <si>
    <t xml:space="preserve">ck-7e4be6c3</t>
  </si>
  <si>
    <t xml:space="preserve">turned off by default</t>
  </si>
  <si>
    <t xml:space="preserve">This happens only if you accept LG's Viewing Information Agreement to turn on ACR, which is off by default, and you can disable it through TV settings.</t>
  </si>
  <si>
    <t xml:space="preserve">lg-oled65c6pua-c6.src2; lg-oled65c6pua-c6.src3; lg-oled65c6pua-c6.src9; lg-oled65c6pua-c6.src10</t>
  </si>
  <si>
    <t xml:space="preserve">audio-fingerprint-content-recognition-inference-household-context</t>
  </si>
  <si>
    <t xml:space="preserve">Round 3: Kept user_setting/optional. LG US help article: 'You can review or change your selections at any time in User Agreements' at Settings &gt; Privacy &amp; Terms &gt; User Agreements (does not name Viewing Information explicitly; says agreements related to viewing information are optional). Consumer Reports (secondary): turn off ACR via Viewing Information under Privacy &amp; Terms. Press/Tom's Guide also cite a 'Live Plus' toggle (Settings &gt; All Settings &gt; General &gt; System &gt; Additional Settings) - the 'Live Plus' name does not appear on any LG US page I could read, and Consumer Reports notes LG menus change by year; C6 path not confirmed. CAUTION on constraint processing_boundary=onDeviceOnly: LG says ACR extracts the fingerprint using the TV's internal audio processor, but also that 'LG may process content-identification fingerprints together with device information' (plus content source, network info, consent settings), so fingerprints reach LG; onDeviceOnly is only defensible for the derivation step and a separate fingerprint-transfer row seems missing. Where matching happens: not stated. Quotes mostly seen twice (off by default, agreement); fingerprint quotes once. Quote (from a summarised fetch, unverified): "ACR is an optional feature that is turned off by default." (statement-understanding-privacy-on-lg-smart-tvs)</t>
  </si>
  <si>
    <t xml:space="preserve">lg-oled65c6pua-c6.viewing-information-derived-through-acr</t>
  </si>
  <si>
    <t xml:space="preserve">Viewing information derived through ACR</t>
  </si>
  <si>
    <t xml:space="preserve">pat:audienceMeasurement</t>
  </si>
  <si>
    <t xml:space="preserve">pat:acrService</t>
  </si>
  <si>
    <t xml:space="preserve">You can choose whether to use ACR; it is off by default and you can disable it through TV settings.</t>
  </si>
  <si>
    <t xml:space="preserve">lg-oled65c6pua-c6.src2; lg-oled65c6pua-c6.src3; lg-oled65c6pua-c6.src9; lg-oled65c6pua-c6.src11</t>
  </si>
  <si>
    <t xml:space="preserve">usage-data-audience-measurement-inference-acr-service</t>
  </si>
  <si>
    <t xml:space="preserve">Round 3: Changed unknown -&gt; user_setting. LG: users 'can disable the feature at any time through TV settings'; settings location per LG US help article is Settings &gt; Privacy &amp; Terms &gt; User Agreements. Opting out costs only less-targeted recommendations (Consumer Reports, secondary). Texas AG release (May 11, 2026, secondary) says LG must show a pop-up disclosure and give 'a clear and simple way to opt out' - context for why the sheet's Sept 2026 statement says off by default. LG also states ACR does not collect voice or other audio recordings, screenshots or video and does not run inside third-party streaming apps (e.g. Netflix, YouTube) - from a summary, quote not captured verbatim. The row's data type (usageData) and purpose (audienceMeasurement) are broader than LG's wording; LG frames ACR as content identification for recommendations/measurement. Quote (from a summarised fetch, unverified): "Users can choose whether to use ACR and can disable the feature at any time through TV settings." (statement-understanding-privacy-on-lg-smart-tvs)</t>
  </si>
  <si>
    <t xml:space="preserve">lg-oled65c6pua-c6.audience-segment-viewing-trend-analysis-derived-from-acr</t>
  </si>
  <si>
    <t xml:space="preserve">Audience segment / viewing-trend analysis derived from ACR data</t>
  </si>
  <si>
    <t xml:space="preserve">pat:audienceSegment</t>
  </si>
  <si>
    <t xml:space="preserve">pat:advertisingService</t>
  </si>
  <si>
    <t xml:space="preserve">ck-a57f3818</t>
  </si>
  <si>
    <t xml:space="preserve">only after ACR is enabled</t>
  </si>
  <si>
    <t xml:space="preserve">You can choose whether to use ACR, and audience analysis based on it applies only if you turn ACR on.</t>
  </si>
  <si>
    <t xml:space="preserve">audience-segment-audience-measurement-inference-advertising-service</t>
  </si>
  <si>
    <t xml:space="preserve">Round 3: Changed unknown -&gt; user_setting (inherits the ACR / Viewing Information agreement control). LG says ACR viewing information may be shared with LG Ad Solutions 'for audience segmentation and trend analysis' (this phrase seen only as a paraphrase in a WebFetch summary). Not stated whether segmentation also requires the separate interest-based advertising agreement; LG says interest-based use needs both. Who performs the segmentation (TV, LG, LG Ad Solutions) is not stated. Quote (from a summarised fetch, unverified): "ACR-related viewing information may be shared with LG Ad Solutions." (statement-understanding-privacy-on-lg-smart-tvs)</t>
  </si>
  <si>
    <t xml:space="preserve">lg-oled65c6pua-c6.acr-viewing-information-shared-with-lg-ad-solutions</t>
  </si>
  <si>
    <t xml:space="preserve">ACR viewing information shared with LG Ad Solutions for measurement</t>
  </si>
  <si>
    <t xml:space="preserve">You can choose whether to use ACR, and ACR viewing information can be shared with LG Ad Solutions only if you turn it on.</t>
  </si>
  <si>
    <t xml:space="preserve">usage-data-audience-measurement-transfer-advertising-service</t>
  </si>
  <si>
    <t xml:space="preserve">Round 3: Upgraded to source_linked: the US statement (and global copy) says ACR-related viewing information may be shared with LG Ad Solutions, described as a majority-owned affiliate, for audience segmentation and trend analysis; voice-audio and ambient-audio data are not provided to LG Ad Solutions. Purpose wording differs slightly from the row ('measurement' vs 'audience segmentation and trend analysis'). Control = ACR agreement; LG US pages also carry a 'Do Not Sell or Share My Personal Information' footer link and the statement (paraphrase) says withdrawing consent or a Do Not Sell request stops ACR data collection, but the TV-side path for that is not stated. The privacy portal privacy.us.lg.com is JS-only (unreadable). Quote (from a summarised fetch, unverified): "ACR-related viewing information may be shared with LG Ad Solutions." (statement-understanding-privacy-on-lg-smart-tvs)</t>
  </si>
  <si>
    <t xml:space="preserve">lg-oled65c6pua-c6.acr-audience-data-used-for-interest-based-advertising</t>
  </si>
  <si>
    <t xml:space="preserve">ACR / audience data used for interest-based advertising when separately consented</t>
  </si>
  <si>
    <t xml:space="preserve">ck-b2882118</t>
  </si>
  <si>
    <t xml:space="preserve">unless a user opts in to both agreements</t>
  </si>
  <si>
    <t xml:space="preserve">ACR data is used for interest-based advertising only if you opt in to both the Viewing Information and the Interest-Based and Cross-Device Advertising agreements.</t>
  </si>
  <si>
    <t xml:space="preserve">lg-oled65c6pua-c6.src2; lg-oled65c6pua-c6.src3; lg-oled65c6pua-c6.src10</t>
  </si>
  <si>
    <t xml:space="preserve">audience-segment-advertising-and-marketing-use-advertising-service</t>
  </si>
  <si>
    <t xml:space="preserve">Round 3: Upgraded to source_linked from the US statement: personalized ads need a separate 'Interest-Based Cross Device Advertising Agreement' and LG uses ACR for interest-based advertising only if the user opts in to both. LG US help article lists viewing information and personalized ads agreements as optional ('All other agreements are optional'); change them at Settings &gt; Privacy &amp; Terms &gt; User Agreements. Consumer Reports (secondary) says these are all off by default during setup. The 'both agreements' quote was seen verbatim once (US statement fetch) and as a paraphrase on a second fetch. Existing control_note ('separately consent') is OK but understates that two opt-ins are needed. Quote (from a summarised fetch, unverified): "LG does not use ACR for interest-based advertising unless a user opts in to both agreements." (statement-understanding-privacy-on-lg-smart-tvs)</t>
  </si>
  <si>
    <t xml:space="preserve">lg-oled65c6pua-c6.acr-related-viewing-data-shared-with-advertiser-for</t>
  </si>
  <si>
    <t xml:space="preserve">ACR-related viewing data shared with advertiser for cross-device advertising when separately consented</t>
  </si>
  <si>
    <t xml:space="preserve">pat:advertiser</t>
  </si>
  <si>
    <t xml:space="preserve">ck-826b5cda</t>
  </si>
  <si>
    <t xml:space="preserve">require separate user consent</t>
  </si>
  <si>
    <t xml:space="preserve">ACR-related viewing data is shared with an advertiser for cross-device advertising only if you separately consent.</t>
  </si>
  <si>
    <t xml:space="preserve">usage-data-advertising-and-marketing-transfer-advertiser</t>
  </si>
  <si>
    <t xml:space="preserve">Round 3: Kept source_linked/user_setting/optional. Statement: interest-based and cross-device advertising require separate user consent; (paraphrase) some ACR data sharing could count as a 'sale' or 'sharing' under privacy laws and users can opt out. Consumer Reports (secondary) describes a 'Do Not Sell My Personal Information' toggle that limits third-party commercialization. Which advertiser(s) receive data and exactly what is shared: not stated. If someone opts out via Do Not Sell rather than the TV agreement, the channel (TV toggle vs web form at privacy.us.lg.com) could not be confirmed because that portal is JS-only. Quote (from a summarised fetch, unverified): "Interest-based advertising and cross-device advertising require separate user consent." (statement-understanding-privacy-on-lg-smart-tvs)</t>
  </si>
  <si>
    <t xml:space="preserve">lg-oled65c6pua-c6.nearby-wi-fi-access-point-signal-data-collected</t>
  </si>
  <si>
    <t xml:space="preserve">Nearby Wi-Fi access-point / signal data collected for approximate-location support of ACR</t>
  </si>
  <si>
    <t xml:space="preserve">pat:nearbyWifiData</t>
  </si>
  <si>
    <t xml:space="preserve">pat:acrLocationSupport</t>
  </si>
  <si>
    <t xml:space="preserve">ck-0603317f</t>
  </si>
  <si>
    <t xml:space="preserve">only after the relevant agreements are accepted</t>
  </si>
  <si>
    <t xml:space="preserve">This happens only after you accept the relevant ACR agreements, and you can disable ACR through TV settings.</t>
  </si>
  <si>
    <t xml:space="preserve">nearby-wifi-data-acr-location-support-collection-acr-service</t>
  </si>
  <si>
    <t xml:space="preserve">Round 3: Upgraded to source_linked: LG states nearby Wi-Fi access-point and signal-strength information is processed separately from device discovery, may help estimate the TV's approximate location for ACR, only in markets where ACR is available and enabled, and only after the relevant agreements are accepted. No separate Wi-Fi/location toggle is documented; the control is inherited from ACR / Viewing Information. The wording about 'approximate location' and 'only when agreements accepted' came from WebFetch summaries; the access-point sentence was seen verbatim twice. Do not confuse with the Sept 2026 press coverage of LAN device scanning (row 17), which is a different function. Quote (from a summarised fetch, unverified): "Nearby Wi-Fi access-point information and signal-strength information are processed separately from device discovery." (statement-understanding-privacy-on-lg-smart-tvs)</t>
  </si>
  <si>
    <t xml:space="preserve">lg-oled65c6pua-c6.approximate-tv-location-inferred-from-nearby-wi-fi</t>
  </si>
  <si>
    <t xml:space="preserve">Approximate TV location inferred from nearby Wi-Fi information for ACR</t>
  </si>
  <si>
    <t xml:space="preserve">ck-ea948f82</t>
  </si>
  <si>
    <t xml:space="preserve">in markets where ACR is available and enabled</t>
  </si>
  <si>
    <t xml:space="preserve">This happens only where ACR is available and enabled, and you can disable ACR through TV settings.</t>
  </si>
  <si>
    <t xml:space="preserve">location-data-acr-location-support-inference-acr-service</t>
  </si>
  <si>
    <t xml:space="preserve">Round 3: Upgraded to source_linked on the same statement as row 15: nearby Wi-Fi data may help estimate the TV's approximate location for ACR. Only the fragment 'in markets where ACR is available and enabled' was captured verbatim; the rest is paraphrase from WebFetch summaries. Whether LG (server) or the TV derives the location, and whether it is stored, is not stated. No separate off switch documented beyond ACR. Quote (from a summarised fetch, unverified): "in markets where ACR is available and enabled" (statement-understanding-privacy-on-lg-smart-tvs)</t>
  </si>
  <si>
    <t xml:space="preserve">lg-oled65c6pua-c6.setup-ongoing-hdmi-and-connected-external-device-discovery</t>
  </si>
  <si>
    <t xml:space="preserve">setup+runtime</t>
  </si>
  <si>
    <t xml:space="preserve">Setup / ongoing HDMI and connected external-device discovery / recognition</t>
  </si>
  <si>
    <t xml:space="preserve">pat:connectedDeviceInfo</t>
  </si>
  <si>
    <t xml:space="preserve">pat:deviceDiscovery</t>
  </si>
  <si>
    <t xml:space="preserve">ck-e03d5287</t>
  </si>
  <si>
    <t xml:space="preserve">lg-oled65c6pua-c6.src2; lg-oled65c6pua-c6.src7; lg-oled65c6pua-c6.src12</t>
  </si>
  <si>
    <t xml:space="preserve">connected-device-info-device-discovery-collection-household-context</t>
  </si>
  <si>
    <t xml:space="preserve">Round 3: Changed unknown -&gt; none_documented. Checked: LG US statement (device-discovery section), LG US User Agreements help article, LG US HDMI-CEC/SIMPLINK article, product page, Tom's Guide (secondary, Sep 2026). LG says the TV 'may use device-discovery functions to recognize and communicate with compatible external devices', that the information 'is used to support connectivity-related features' and is not used for household profiling, cross-device targeting or advertising segmentation; it only says customers 'can choose whether to enable optional services associated with these experiences' with no menu path. A SIMPLINK (HDMI-CEC) on/off toggle exists (webOS 22/6.0: All Settings &gt; General &gt; Devices &gt; HDMI Settings &gt; Simplink; C6 path not confirmed) but LG does not say it limits device discovery/recognition data, so I did not treat it as the control. Tom's Guide: no dedicated toggle for LAN scanning; LG calls it a standard function. Unreadable (JS-only): LG US Wi-Fi/setup help articles, LG US privacy policy at privacy.us.lg.com. Necessity unknown: LG names only 'connectivity-related features' generically. Row mixes HDMI recognition and network/LAN device scanning - both appear in LG's wording. Quote (from a summarised fetch, unverified): "LG smart TVs may use device-discovery functions to recognize and communicate with compatible external devices" (statement-understanding-privacy-on-lg-smart-tvs)</t>
  </si>
  <si>
    <t xml:space="preserve">lg-oled65c6pua-c6.hdmi-connected-device-information-used-for-audience-advertising</t>
  </si>
  <si>
    <t xml:space="preserve">HDMI-connected device information used for audience / advertising purposes when separately consented</t>
  </si>
  <si>
    <t xml:space="preserve">pat:hdmiDeviceInfo</t>
  </si>
  <si>
    <t xml:space="preserve">ck-91b67c10</t>
  </si>
  <si>
    <t xml:space="preserve">Without that separate consent</t>
  </si>
  <si>
    <t xml:space="preserve">HDMI-connected device information is used for audience segmentation or advertising only if you accept the applicable advertising agreements.</t>
  </si>
  <si>
    <t xml:space="preserve">hdmi-device-info-advertising-and-marketing-use-advertising-service</t>
  </si>
  <si>
    <t xml:space="preserve">Round 3: Upgraded to source_linked: LG says HDMI-connected device information is distinct from device-discovery information and may be used for audience segmentation only with the user's separate acceptance of the applicable advertising agreements; 'Without that separate consent, the information is not used for those advertising purposes.' Which specific agreement (Viewing Information vs Interest-Based and Cross-Device) governs this is not stated, so the control_note says 'applicable advertising agreements'. Where agreements are changed: Settings &gt; Privacy &amp; Terms &gt; User Agreements (LG US help article, model-generic). The row's data type pat:hdmiDeviceInfo vs row 17's connectedDeviceInfo matches LG's own separation. Quote (from a summarised fetch, unverified): "HDMI-connected device information may be used for audience segmentation" (statement-understanding-privacy-on-lg-smart-tvs)</t>
  </si>
  <si>
    <t xml:space="preserve">lg-oled65c6pua-c6.google-gemini-prompt-query-sent-to-third-party</t>
  </si>
  <si>
    <t xml:space="preserve">Google Gemini prompt / query sent to third-party AI service when feature is used</t>
  </si>
  <si>
    <t xml:space="preserve">pat:aiPromptData</t>
  </si>
  <si>
    <t xml:space="preserve">pat:aiAssistant</t>
  </si>
  <si>
    <t xml:space="preserve">ck-a9cedba6</t>
  </si>
  <si>
    <t xml:space="preserve">ask and get what you need with Google Gemini</t>
  </si>
  <si>
    <t xml:space="preserve">This happens only when you use the TV's AI Search to ask Google Gemini a question.</t>
  </si>
  <si>
    <t xml:space="preserve">lg-oled65c6pua-c6.src8; lg-oled65c6pua-c6.src4</t>
  </si>
  <si>
    <t xml:space="preserve">ai-prompt-data-ai-assistant-transfer-third-party-service-provider</t>
  </si>
  <si>
    <t xml:space="preserve">Round 3: Changed user_setting -&gt; user_initiated (first match; flow occurs only when the user asks). Evidence upgraded with medium/low strength: US product page says 'webOS delivers smarter, easier streaming, plus Google Gemini at your fingertips'; LG Canada AI TV playbook (webOS 26, 2026 models) says Google Gemini provides answers on the TV and footnote says AI Search 'is supported by default in the U.S. and Korea' and 'only when Gemini is selected in Multi-AI' (a provider choice, so a user setting may exist for choosing the AI service). The Malaysia version of the playbook also mentions Microsoft Copilot as a second option. No LG page I read describes what prompt/voice data is sent to Google, a consent step, or how to turn the AI feature/button off; LG US privacy statement does not mention Gemini. Press (not fetched) reports LG planned to let users remove the Copilot tile - not verified. Canada page is regional; C6-specific US behaviour not confirmed. Third-party handling is only implied by 'partner AI services'. Necessity is inferred from what the flow does; no source states it. Quote (from a summarised fetch, unverified): "Just ask and get what you need with Google Gemini providing answers right on your TV screen." (lg-ai-tv-playbook) Evidence left as needs_source: neither linked page describes what is sent to Google. Earlier note: Consider user_initiated: the flow occurs only when the feature is used. Check whether a setting also disables the feature.</t>
  </si>
  <si>
    <t xml:space="preserve">lg-oled65c6pua-c6.smart-tv-device-software-network-telemetry-for-service</t>
  </si>
  <si>
    <t xml:space="preserve">Smart-TV device / software / network telemetry for service operation and diagnostics</t>
  </si>
  <si>
    <t xml:space="preserve">diagnostic-data-diagnostics-and-maintenance-transfer-lg-service</t>
  </si>
  <si>
    <t xml:space="preserve">Round 3: Could not confirm. Checked and found nothing on device/software/network telemetry: LG US and global privacy statements (no diagnostics section; only 'Certain smart TV features rely on specialized service providers and partners to operate' and advice to keep software updated), LG US User Agreements help article (Terms of Use and Privacy Policy required for smart services), product page, and LG settings-menu help pages (JS shells). The documents most likely to describe telemetry were UNREACHABLE: LG US privacy policy (lg.com/us/privacy redirects to privacy.us.lg.com, JS-only), LG Smart Media Product Membership Privacy Policy (us/gb.lgappstv.com/main/policyLink, JS-only), privacy.lg.com (JS-only), LG US Terms of Use (excludes Smart TVs / Smart Media Products). Set unknown rather than none_documented for that reason. Lead (unverified, Canada policy, not US): LG Canada privacy page lists Smart TV connection data such as 'OTA ID, TVOS version, device feature set code' and defers TV data to the Smart Media Product Membership Privacy Policy. Because the required agreements gate smart services, this flow may be tied to them, but no source says so.</t>
  </si>
  <si>
    <t xml:space="preserve">reolink-e1-zoom.setup-wi-fi-network-password-credential-entered-during</t>
  </si>
  <si>
    <t xml:space="preserve">reolink-e1-zoom</t>
  </si>
  <si>
    <t xml:space="preserve">Reolink E1 Zoom (PTZ Camera)</t>
  </si>
  <si>
    <t xml:space="preserve">camera</t>
  </si>
  <si>
    <t xml:space="preserve">Camera</t>
  </si>
  <si>
    <t xml:space="preserve">Setup: Wi-Fi network password/credential entered during initialization</t>
  </si>
  <si>
    <t xml:space="preserve">Enter the WiFi password of the selected WiFi network</t>
  </si>
  <si>
    <t xml:space="preserve">You enter the Wi-Fi password when initializing the camera.</t>
  </si>
  <si>
    <t xml:space="preserve">reolink-e1-zoom.src1; reolink-e1-zoom.src5</t>
  </si>
  <si>
    <t xml:space="preserve">Round 3: Necessity inferred: the camera needs Wi-Fi to get online for the Reolink App remote viewing, push alerts and cloud (src1 is the 'without LAN Port' setup guide, so Wi-Fi is the network path). The setup hub (src5) is only an index and says 'generate a QR code containing Wi-Fi Info'. Hard-reset article (src6) says a reset 'will restore your camera to factory default settings' and to 'reconfigure the camera after reset', but does NOT explicitly say Wi-Fi settings are wiped ('not stated'). Possible discrepancy: src1 says 'Reolink E1 and Reolink Lumus will only connect to a 2.4 GHz WiFi network' while the E1 Zoom product page lists 2.4GHz/5GHz; not a wire-field issue. Quote (from a summarised fetch, unverified): "Enter the WiFi password of the selected WiFi network and tap Next." (360020094714-How-to-Initially-Set-up-Reolink-WiF)</t>
  </si>
  <si>
    <t xml:space="preserve">reolink-e1-zoom.setup-local-camera-device-password-created-during-initialization</t>
  </si>
  <si>
    <t xml:space="preserve">Setup: local camera/device password created during initialization</t>
  </si>
  <si>
    <t xml:space="preserve">pat:deviceCredentialData</t>
  </si>
  <si>
    <t xml:space="preserve">Create the password for your camera</t>
  </si>
  <si>
    <t xml:space="preserve">You create the camera's local password when initializing it.</t>
  </si>
  <si>
    <t xml:space="preserve">reolink-e1-zoom.src1</t>
  </si>
  <si>
    <t xml:space="preserve">device-credential-data-device-setup-collection-household-context</t>
  </si>
  <si>
    <t xml:space="preserve">Round 3: src1 (already linked to the row 2 flow) contains the step 'Create the password for your camera.' immediately before 'Initialization finished.' Necessity inferred: initialization (and so normal use) is presented as completing only after this step; no article states it cannot be skipped. Hard-reset article (src6) does not say whether the camera password is reset ('Password: not stated for cameras'; only NVRs are told to create a new password); only 'restore ... factory default settings' is stated. Setup hub (src5) only has a related-article title 'Default User and Password of Reolink Cameras/NVRs' - no steps. Quote (from a summarised fetch, unverified): "Create the password for your camera." (360020094714-How-to-Initially-Set-up-Reolink-WiF)</t>
  </si>
  <si>
    <t xml:space="preserve">reolink-e1-zoom.optional-reolink-account-identifiers-for-cloud-smart-home</t>
  </si>
  <si>
    <t xml:space="preserve">Optional Reolink account identifiers for cloud / smart-home services</t>
  </si>
  <si>
    <t xml:space="preserve">pat:reolinkService</t>
  </si>
  <si>
    <t xml:space="preserve">Optional</t>
  </si>
  <si>
    <t xml:space="preserve">A Reolink account is optional; you provide account details only if you use cloud or smart-home services.</t>
  </si>
  <si>
    <t xml:space="preserve">reolink-e1-zoom.src2; reolink-e1-zoom.src12; reolink-e1-zoom.src15; reolink-e1-zoom.src6</t>
  </si>
  <si>
    <t xml:space="preserve">identifier-data-account-setup-collection-reolink-service</t>
  </si>
  <si>
    <t xml:space="preserve">Round 3: Kept current control type. Account FAQ (src2) says a camera works normally without an account; the FAQ names Reolink Cloud as an additional service but does NOT name Alexa/Google ('Alexa/Google smart home: not stated'). Alexa article (src12) confirms an account login is required for smart home linking, and Cloud intro (src15) refers to creating a Cloud Account. Hard reset (src6): camera is unlinked from cloud/smart-home after reset. Privacy policy (src7) names account deletion via 'Security - Delete account' (external/in-app channel) and DPO email dpo@reolink.com for data requests - relevant if the team wants a deletion route in the policy. Quote (from a summarised fetch, unverified): "You can configure and use your camera normally without registering for a Reolink account." (29100983585177-Reolink-Account-FAQ)</t>
  </si>
  <si>
    <t xml:space="preserve">reolink-e1-zoom.video-capture-from-camera-sensor</t>
  </si>
  <si>
    <t xml:space="preserve">Video capture from camera sensor</t>
  </si>
  <si>
    <t xml:space="preserve">ppd:security</t>
  </si>
  <si>
    <t xml:space="preserve">pat:cameraSensor</t>
  </si>
  <si>
    <t xml:space="preserve">ck-dcd0db95</t>
  </si>
  <si>
    <t xml:space="preserve">Privacy Mode: the camera will not capture any video or audio data</t>
  </si>
  <si>
    <t xml:space="preserve">You can turn on Privacy Mode in the camera's settings in the Reolink App to stop video capture, alerts and recording.</t>
  </si>
  <si>
    <t xml:space="preserve">reolink-e1-zoom.src8; reolink-e1-zoom.src3</t>
  </si>
  <si>
    <t xml:space="preserve">visual-data-security-collection-household-context</t>
  </si>
  <si>
    <t xml:space="preserve">Round 3: Privacy Mode article lists E1 Zoom (hardware IPC_566SD664M5MP and IPC_NT14NA48MPSD6) and says it is 'a unique feature available for the E1 series'. Only the super admin account can enable it, Reolink App 4.49 or later is needed, and the camera restarts when toggled; the camera stays powered and on the network. Necessity: with capture off 'you will not be able to view any live footage' and recording is disabled, so live view and recording depend on video capture. Quotes come from a summarising fetch (the live-view wording seen once); product page wording corroborates ('Instantly turn off live view, alerts, and video/audio recording'). Quote (from a summarised fetch, unverified): "it will not capture any video or audio data" (37046076925209-Introduction-to-Reolink-Privacy-M)</t>
  </si>
  <si>
    <t xml:space="preserve">reolink-e1-zoom.audio-capture-from-built-in-microphone</t>
  </si>
  <si>
    <t xml:space="preserve">Audio capture from built-in microphone</t>
  </si>
  <si>
    <t xml:space="preserve">pat:microphone</t>
  </si>
  <si>
    <t xml:space="preserve">You can turn on Privacy Mode in the camera's settings in the Reolink App to stop audio capture, alerts and recording.</t>
  </si>
  <si>
    <t xml:space="preserve">audio-data-security-collection-household-context</t>
  </si>
  <si>
    <t xml:space="preserve">Round 3: Privacy Mode article says it 'stops all audio recordings' and that the camera 'will not capture any video or audio data'; product page confirms a built-in mic and speaker. Necessity inferred, not stated: cry-sound detection, audio recording and live-view/two-way listening need the microphone, but plain video monitoring does not; no source describes a mic-only off switch other than the Record Audio option (recording) and Privacy Mode (everything). Low-medium confidence on necessity. Necessity set to optional: the camera still works for video without audio; audio recording, two-way audio and cry detection depend on the microphone. Quote (from a summarised fetch, unverified): "stops all audio recordings" (37046076925209-Introduction-to-Reolink-Privacy-M)</t>
  </si>
  <si>
    <t xml:space="preserve">reolink-e1-zoom.ambient-light-daylight-sensing-for-camera-operation</t>
  </si>
  <si>
    <t xml:space="preserve">Ambient-light / daylight sensing for camera operation</t>
  </si>
  <si>
    <t xml:space="preserve">pat:cameraAdaptation</t>
  </si>
  <si>
    <t xml:space="preserve">pat:daylightSensor</t>
  </si>
  <si>
    <t xml:space="preserve">Auto / Color / Black &amp; White day-night mode</t>
  </si>
  <si>
    <t xml:space="preserve">You can set the day/night mode to Color or Black &amp; White instead of Auto in the Reolink App.</t>
  </si>
  <si>
    <t xml:space="preserve">reolink-e1-zoom.src22</t>
  </si>
  <si>
    <t xml:space="preserve">environment-data-camera-adaptation-collection-household-context</t>
  </si>
  <si>
    <t xml:space="preserve">Round 3: Changed control_type unknown -&gt; user_setting. The article says Auto mode switches 'according to the lighting conditions' but never mentions a daylight/light sensor or image-brightness analysis, so the wire field source=pat:daylightSensor is not confirmed (hardware sensor vs image analysis). Also not stated: whether choosing a manual mode stops the ambient-light sensing itself - the setting only stops automatic switching. Evidence upgrade is therefore weak: it supports automatic lighting adaptation, not the sensor. No personal data involved; local camera operation. Product page lists 'Infrared Night Vision' only. Quote (from a summarised fetch, unverified): "the camera will automatically switch between the Color mode and the Black &amp; White mode." (360004687494-How-to-Change-Day-and-Night-Mode-vi)</t>
  </si>
  <si>
    <t xml:space="preserve">reolink-e1-zoom.motion-event-inferred-by-local-detection</t>
  </si>
  <si>
    <t xml:space="preserve">Motion event inferred by local detection</t>
  </si>
  <si>
    <t xml:space="preserve">ck-4d01934b</t>
  </si>
  <si>
    <t xml:space="preserve">Sensitivity and schedule settings; Privacy Mode</t>
  </si>
  <si>
    <t xml:space="preserve">You can adjust motion-detection sensitivity and its schedule in the Reolink App, and Privacy Mode stops the camera triggering alarms.</t>
  </si>
  <si>
    <t xml:space="preserve">reolink-e1-zoom.src3; reolink-e1-zoom.src25; reolink-e1-zoom.src24; reolink-e1-zoom.src8</t>
  </si>
  <si>
    <t xml:space="preserve">presence-data-security-inference-household-context</t>
  </si>
  <si>
    <t xml:space="preserve">Round 3: Changed unknown -&gt; user_setting. The motion-sensitivity article does not state how to switch motion detection fully off ('How to enable/disable motion detection: not stated') nor where processing happens; the constraint processing_boundary=ppd:onDeviceOnly is NOT confirmed by any support page I read (none says detection runs on the camera vs elsewhere). Necessity inferred: recording schedule offers 'Alarm; Timer; None', so timed recording and live view work without motion alarms. Quote (from a summarised fetch, unverified): "adjust the sensitivity or even customize the schedule" (360003568753-How-to-Set-up-Motion-Detection-Sens)</t>
  </si>
  <si>
    <t xml:space="preserve">reolink-e1-zoom.person-event-inferred-by-local-ai</t>
  </si>
  <si>
    <t xml:space="preserve">Person event inferred by local AI</t>
  </si>
  <si>
    <t xml:space="preserve">Person / Vehicle / Animal alarm settings</t>
  </si>
  <si>
    <t xml:space="preserve">You can adjust person-detection alarm settings and sensitivity in the Reolink App, and Privacy Mode stops the camera triggering alarms.</t>
  </si>
  <si>
    <t xml:space="preserve">reolink-e1-zoom.src3; reolink-e1-zoom.src24; reolink-e1-zoom.src10; reolink-e1-zoom.src25</t>
  </si>
  <si>
    <t xml:space="preserve">Round 3: Changed unknown -&gt; user_setting. The smart-detection article gives per-type alarm settings and sensitivity, but no explicit on/off toggle per type and no statement of on-device vs cloud processing, so processing_boundary=onDeviceOnly is unverified. The Smart Detection article has no model list ('Applies to: cameras that support smart detection'); the product page heading 'Person/Pet/Crying Detection' ties person detection to the E1 Zoom. Necessity is inferred from what the flow does; no source states it. Quote (from a summarised fetch, unverified): "Tap Person, Vehicle or Animal to set the corresponding alarm settings." (8121678212889-How-to-Set-up-Smart-Detection-Sett)</t>
  </si>
  <si>
    <t xml:space="preserve">reolink-e1-zoom.pet-event-inferred-by-local-ai</t>
  </si>
  <si>
    <t xml:space="preserve">Pet event inferred by local AI</t>
  </si>
  <si>
    <t xml:space="preserve">You can adjust pet (animal) detection alarm settings and sensitivity in the Reolink App, and Privacy Mode stops the camera triggering alarms.</t>
  </si>
  <si>
    <t xml:space="preserve">reolink-e1-zoom.src3; reolink-e1-zoom.src24; reolink-e1-zoom.src10</t>
  </si>
  <si>
    <t xml:space="preserve">Round 3: Changed unknown -&gt; user_setting. Support articles call it 'Animal' while the product page says 'Pet'; the Smart Detection article warns 'Detection types and available sensitivity settings may vary depending on the camera model.' No on/off toggle or processing location stated, so the onDeviceOnly constraint is unverified. Necessity is inferred from what the flow does; no source states it. Quote (from a summarised fetch, unverified): "Detection types and available sensitivity settings may vary depending on the camera model." (8121678212889-How-to-Set-up-Smart-Detection-Sett)</t>
  </si>
  <si>
    <t xml:space="preserve">reolink-e1-zoom.crying-sound-event-inferred-by-local-ai</t>
  </si>
  <si>
    <t xml:space="preserve">Crying-sound event inferred by local AI</t>
  </si>
  <si>
    <t xml:space="preserve">pat:cryingDetectionEvent</t>
  </si>
  <si>
    <t xml:space="preserve">check Cry Sound Detection in Push Notification schedule settings</t>
  </si>
  <si>
    <t xml:space="preserve">Crying-sound alerts are sent only if you tick Cry Sound Detection in the push notification schedule settings of the Reolink App.</t>
  </si>
  <si>
    <t xml:space="preserve">reolink-e1-zoom.src14; reolink-e1-zoom.src3</t>
  </si>
  <si>
    <t xml:space="preserve">crying-detection-event-security-inference-household-context</t>
  </si>
  <si>
    <t xml:space="preserve">Round 3: Changed unknown -&gt; user_setting. src14 lists E1 Zoom (IPC_566SD664M5MP / IPC_NT14NA48MPSD6, firmware 'Released, upgradable') and says cry sound detection is the only audio detection Reolink cameras support; enabling is by ticking it in the push schedule, which implies opt-in/off by default (not stated outright). Processing location is not stated explicitly ('When the camera detects a cry that meets the preset criteria' only suggests on-camera), so onDeviceOnly stays unverified. Product page: 'Instantly know when your baby needs you, even when you're out of earshot'. Quote (from a summarised fetch, unverified): "Currently, the only audio detection supported by Reolink cameras is cry sound detection." (900000580243-Do-Reolink-Cameras-Support-Audio-De)</t>
  </si>
  <si>
    <t xml:space="preserve">reolink-e1-zoom.ptz-auto-tracking-uses-detection-results-to-follow</t>
  </si>
  <si>
    <t xml:space="preserve">PTZ auto-tracking uses detection results to follow subject</t>
  </si>
  <si>
    <t xml:space="preserve">ck-44cb07c3</t>
  </si>
  <si>
    <t xml:space="preserve">Camera Settings &gt; Smart Detection &gt; Auto Tracking</t>
  </si>
  <si>
    <t xml:space="preserve">You can turn Auto Tracking on or off in the camera's Smart Detection settings.</t>
  </si>
  <si>
    <t xml:space="preserve">reolink-e1-zoom.src3; reolink-e1-zoom.src18; reolink-e1-zoom.src19</t>
  </si>
  <si>
    <t xml:space="preserve">presence-data-security-use-household-context</t>
  </si>
  <si>
    <t xml:space="preserve">Round 3: Changed unknown -&gt; user_setting. The setup article describes an enable/disable switch (Reolink Client path quoted; app path presumably similar). src19 lists E1 Zoom (hardware IPC_566/IPC_NT1) in Applies to. The product page spec table says auto tracking 'YES (Only Pan)', so tracking may be pan-only on this model (not a wire-field issue). Tracking targets are person/vehicle/animal; whether detection must be enabled for tracking and where processing runs are not stated. Quote (from a summarised fetch, unverified): "Go to Camera Settings &gt; Smart Detection &gt; Auto Tracking and enable/disable Auto Tracking." (14042664166169-How-to-Set-up-Auto-Tracking-for-R)</t>
  </si>
  <si>
    <t xml:space="preserve">reolink-e1-zoom.local-microsd-video-recording-playback</t>
  </si>
  <si>
    <t xml:space="preserve">Local microSD video recording / playback</t>
  </si>
  <si>
    <t xml:space="preserve">ck-58bc1761</t>
  </si>
  <si>
    <t xml:space="preserve">Privacy Mode disables capture, alerts and recording</t>
  </si>
  <si>
    <t xml:space="preserve">You can turn on Privacy Mode to stop capture, alerts and recording.</t>
  </si>
  <si>
    <t xml:space="preserve">reolink-e1-zoom.src3; reolink-e1-zoom.src8; reolink-e1-zoom.src26</t>
  </si>
  <si>
    <t xml:space="preserve">visual-data-security-use-household-context</t>
  </si>
  <si>
    <t xml:space="preserve">Round 3: Kept user_setting. Privacy Mode article: 'the camera's recording functions are completely disabled' (existing recordings stay playable). Recording article lists Record Schedule options 'Alarm; Timer; None' and applies to 'cameras with a micro SD card slot'; it says nothing about turning recording on/off beyond that. Necessity inferred: the microSD card is user-supplied ('Insert a microSD card up to 512GB'), so live view, cloud and NVR work without it. The hard-reset article said (summary, unverified) that resetting 'will not erase the recordings' without addressing microSD specifically - worth checking for the retention section of the policy. Quote (from a summarised fetch, unverified): "Insert a microSD card of up to 512GB" (e1-zoom)</t>
  </si>
  <si>
    <t xml:space="preserve">reolink-e1-zoom.local-microsd-audio-recording-playback</t>
  </si>
  <si>
    <t xml:space="preserve">Local microSD audio recording / playback</t>
  </si>
  <si>
    <t xml:space="preserve">Record Audio option; Privacy Mode stops audio recording</t>
  </si>
  <si>
    <t xml:space="preserve">You can use the Record Audio setting in the Reolink App to choose whether audio is recorded, and Privacy Mode stops all audio recording.</t>
  </si>
  <si>
    <t xml:space="preserve">reolink-e1-zoom.src3; reolink-e1-zoom.src8; reolink-e1-zoom.src26; reolink-e1-zoom.src20</t>
  </si>
  <si>
    <t xml:space="preserve">audio-data-security-use-household-context</t>
  </si>
  <si>
    <t xml:space="preserve">Round 3: Kept user_setting but changed the cue/note: the recording article mentions a separate 'Record Audio' option (not stated whether it applies on microSD vs NVR; the two-way audio article also refers to enabling 'Record Audio'). Privacy Mode 'stops all audio recordings'. Necessity inferred from the existence of the separate toggle. Exact on/off wording of Record Audio is not given in the fetched text. Quote (from a summarised fetch, unverified): "The Record Audio option can be enabled only if the device supports this function." (360015968874-How-to-Set-up-Recording-for-Reolink)</t>
  </si>
  <si>
    <t xml:space="preserve">reolink-e1-zoom.video-transferred-to-local-nvr-home-hub-ftp</t>
  </si>
  <si>
    <t xml:space="preserve">Video transferred to local NVR / Home Hub / FTP / NAS</t>
  </si>
  <si>
    <t xml:space="preserve">ck-3b938702</t>
  </si>
  <si>
    <t xml:space="preserve">You enter the FTP server and credentials; NVR is user-added</t>
  </si>
  <si>
    <t xml:space="preserve">This happens only if you set up FTP/NAS upload or connect the camera to a Reolink NVR yourself.</t>
  </si>
  <si>
    <t xml:space="preserve">reolink-e1-zoom.src21; reolink-e1-zoom.src3; reolink-e1-zoom.src4</t>
  </si>
  <si>
    <t xml:space="preserve">visual-data-security-transfer-household-context</t>
  </si>
  <si>
    <t xml:space="preserve">Round 3: Changed unknown -&gt; user_setting. Product page: NVR 'extended local storage' and 'FTP/NAS system ... footage and images'. FTP article: user types the server address and the FTP user name/password and 'Choose to upload a video or picture or both'; it has no disable steps ('not stated'). E1 Zoom FAQ (src4) says it works with a PoE NVR - odd for a Wi-Fi model, treat with care. Home Hub support for E1 Zoom: not found. FTP default state is not stated, but it requires entering server details so it cannot start by itself. Quote (from a summarised fetch, unverified): "Connect your E1 Zoom to a Reolink NVR for extended local storage." (e1-zoom)</t>
  </si>
  <si>
    <t xml:space="preserve">reolink-e1-zoom.audio-transferred-to-local-nvr-home-hub-ftp</t>
  </si>
  <si>
    <t xml:space="preserve">Audio transferred to local NVR / Home Hub / FTP / NAS</t>
  </si>
  <si>
    <t xml:space="preserve">audio-data-security-transfer-household-context</t>
  </si>
  <si>
    <t xml:space="preserve">Round 3: Evidence left needs_source: the FTP article and product page mention only 'video or picture' / 'footage and images'; audio transfer is 'not stated' (audio may travel inside video files but no page says so). Control type follows row 15 (same configuration); control note is therefore low confidence. Checked: FTP article, E1 Zoom product page, E1 Zoom FAQ. Necessity is inferred from what the flow does; no source states it. Quote (from a summarised fetch, unverified): "Choose to upload a video or picture or both." (360020081034-How-to-Set-up-FTP-for-Reolink-Produ)</t>
  </si>
  <si>
    <t xml:space="preserve">reolink-e1-zoom.live-recorded-video-delivered-through-reolink-remote-app</t>
  </si>
  <si>
    <t xml:space="preserve">Live / recorded video delivered through Reolink remote app or client</t>
  </si>
  <si>
    <t xml:space="preserve">pat:remoteViewing</t>
  </si>
  <si>
    <t xml:space="preserve">ck-5c7116f8</t>
  </si>
  <si>
    <t xml:space="preserve">Remote access through the Reolink App (UID / P2P)</t>
  </si>
  <si>
    <t xml:space="preserve">This happens only when you open live view or playback in the Reolink App or Client.</t>
  </si>
  <si>
    <t xml:space="preserve">reolink-e1-zoom.src23; reolink-e1-zoom.src27</t>
  </si>
  <si>
    <t xml:space="preserve">visual-data-remote-viewing-transfer-reolink-service</t>
  </si>
  <si>
    <t xml:space="preserve">Round 3: Changed unknown -&gt; user_initiated (flow occurs only when the user views). UID article: UID 'enables secure remote access through the Reolink App and Client without requiring port forwarding', described as P2P, 'enabled by default on all supported Reolink devices except NVRs', and 'you may choose to disable UID (if supported)'. E1 Zoom is not named there, so a UID/remote-access toggle for this model is unverified. It is not stated whether video is relayed through Reolink servers or sent peer-to-peer, which matters for handling_context=pat:reolinkService. Evidence upgrade is medium-weak: supports remote app viewing, not specifically recorded-video delivery. Necessity inferred: camera still works on the local network/microSD without remote access. Quote (from a summarised fetch, unverified): "It enables secure remote access through the Reolink App and Client without requiring port forwarding." (360013481134-How-to-Enable-UID-for-Reolink-Produ)</t>
  </si>
  <si>
    <t xml:space="preserve">reolink-e1-zoom.live-recorded-audio-delivered-through-reolink-remote-app</t>
  </si>
  <si>
    <t xml:space="preserve">Live / recorded audio delivered through Reolink remote app or client</t>
  </si>
  <si>
    <t xml:space="preserve">audio-data-remote-viewing-transfer-reolink-service</t>
  </si>
  <si>
    <t xml:space="preserve">Round 3: Evidence left needs_source: no page I read explicitly states that live-view/playback audio is streamed to the app (only the Privacy Mode and product-page mic/speaker mentions). Control type follows row 17 (same remote-viewing mechanism; see UID article src23 for the P2P remote access). Low confidence. Necessity is inferred from what the flow does; no source states it.</t>
  </si>
  <si>
    <t xml:space="preserve">reolink-e1-zoom.two-way-audio-from-remote-user-delivered-to</t>
  </si>
  <si>
    <t xml:space="preserve">Two-way audio from remote user delivered to camera speaker</t>
  </si>
  <si>
    <t xml:space="preserve">pat:twoWayAudio</t>
  </si>
  <si>
    <t xml:space="preserve">ck-7552e333</t>
  </si>
  <si>
    <t xml:space="preserve">Tap to Talk</t>
  </si>
  <si>
    <t xml:space="preserve">Audio from the Reolink App is played on the camera's speaker only when you tap Talk during live view.</t>
  </si>
  <si>
    <t xml:space="preserve">reolink-e1-zoom.src20; reolink-e1-zoom.src3</t>
  </si>
  <si>
    <t xml:space="preserve">audio-data-two-way-audio-collection-household-context</t>
  </si>
  <si>
    <t xml:space="preserve">Round 3: Two-way audio article lists E1 Zoom ('E1 pro, E1 Zoom, E Series E340'). Steps: user taps 'Tap to Talk'. Not stated: whether this works only remotely or also on LAN, who may use it (any account with access), or a setting to disable the speaker. Possible wire-field issue (notes only): source=ppd:vendorProvided for audio spoken by the remote app user looks odd (the app user generates it). Necessity is inferred from what the flow does; no source states it. Quote (from a summarised fetch, unverified): ""Tap to Talk" to start talking, and then it will enter the 2-way audio interface." (360004051354-How-to-Enable-Two-Way-Audio-via-Reo)</t>
  </si>
  <si>
    <t xml:space="preserve">reolink-e1-zoom.cloud-video-upload-when-reolink-cloud-is-enabled</t>
  </si>
  <si>
    <t xml:space="preserve">Cloud video upload when Reolink Cloud is enabled / supported</t>
  </si>
  <si>
    <t xml:space="preserve">pat:cloudStorage</t>
  </si>
  <si>
    <t xml:space="preserve">pat:reolinkCloud</t>
  </si>
  <si>
    <t xml:space="preserve">ck-8c312543</t>
  </si>
  <si>
    <t xml:space="preserve">Reolink Cloud is not compulsory but optional</t>
  </si>
  <si>
    <t xml:space="preserve">Cloud video upload happens only when you enable Reolink Cloud, which is optional.</t>
  </si>
  <si>
    <t xml:space="preserve">reolink-e1-zoom.src4; reolink-e1-zoom.src15; reolink-e1-zoom.src16; reolink-e1-zoom.src6; reolink-e1-zoom.src7</t>
  </si>
  <si>
    <t xml:space="preserve">visual-data-cloud-storage-transfer-reolink-cloud</t>
  </si>
  <si>
    <t xml:space="preserve">Round 3: Kept user_setting. Cloud intro: 'not compulsory but optional', subscription plans, stores motion event videos (no continuous recording); E1 Zoom appears in its clip-length table ('E1 Zoom 8s 16s 16s') and src4 says model support differs by country. A per-camera upload on/off toggle is NOT documented in the articles read (binding/unbinding are separate articles). Storage time is user-customisable and 'If a video has been stored in the cloud over the time you set, it will be deleted automatically'; privacy policy says expired cloud videos are deleted per contract and storage is 'supported by AWS'. Retention constraint placeholder (ppd:indefinite) conflicts with these bounded-retention statements (notes only, as instructed). Hard reset (src6) unlinks the camera from cloud services. Quote (from a summarised fetch, unverified): "Please note that the Reolink Cloud service is not compulsory but optional." (900000641926-A-Brief-Introduction-to-Reolink-Clo) Earlier note: Placeholder: true retention is bounded, recorded as ppd:indefinite until a bounded-retention form is agreed.</t>
  </si>
  <si>
    <t xml:space="preserve">reolink-e1-zoom.device-alert-event-information-sent-for-push-notifications</t>
  </si>
  <si>
    <t xml:space="preserve">Device alert / event information sent for push notifications</t>
  </si>
  <si>
    <t xml:space="preserve">pat:alertEventData</t>
  </si>
  <si>
    <t xml:space="preserve">pat:pushAlert</t>
  </si>
  <si>
    <t xml:space="preserve">ck-0fdb83fb</t>
  </si>
  <si>
    <t xml:space="preserve">Push Notification &gt; Enable Push Notifications (per camera)</t>
  </si>
  <si>
    <t xml:space="preserve">You can turn push notifications on or off for each camera in the Reolink App, and Privacy Mode stops the camera triggering alarms.</t>
  </si>
  <si>
    <t xml:space="preserve">reolink-e1-zoom.src9; reolink-e1-zoom.src10; reolink-e1-zoom.src7; reolink-e1-zoom.src8</t>
  </si>
  <si>
    <t xml:space="preserve">alert-event-data-push-alert-transfer-reolink-service</t>
  </si>
  <si>
    <t xml:space="preserve">Round 3: Updated cue/note: the direct control is the per-camera push toggle (plus the phone's own notification permission and the push schedule); Privacy Mode is secondary. Push path per the support article: device -&gt; Reolink server -&gt; 'Google or Apple server' (Google/Apple relays are third parties not reflected in the row's handling_context). Privacy policy: 'we will collect your device alerts and device information', used only to push Reolink alerts. The push intro article does not say whether a Reolink account is required ('not stated'); the enable article says 'only accounts with push capability have the option to enable push notifications'. The 'applies to: all Reolink devices' wording does not name E1 Zoom. Quote (from a summarised fetch, unverified): "Reolink server sends the message to Google or Apple server" (900000501143-Introduction-to-Push-Notification)</t>
  </si>
  <si>
    <t xml:space="preserve">reolink-e1-zoom.email-alert-event-sent-when-email-alerts-are</t>
  </si>
  <si>
    <t xml:space="preserve">Email alert event sent when email alerts are enabled</t>
  </si>
  <si>
    <t xml:space="preserve">pat:emailAlert</t>
  </si>
  <si>
    <t xml:space="preserve">ck-e8ea4897</t>
  </si>
  <si>
    <t xml:space="preserve">Enable Email Alerts; you enter your own sender email account</t>
  </si>
  <si>
    <t xml:space="preserve">Email alerts are sent only if you turn on Email Alerts and enter a sender email account in the Reolink App; Privacy Mode also stops the camera triggering alarms.</t>
  </si>
  <si>
    <t xml:space="preserve">reolink-e1-zoom.src11; reolink-e1-zoom.src7; reolink-e1-zoom.src8</t>
  </si>
  <si>
    <t xml:space="preserve">alert-event-data-email-alert-transfer-third-party-service-provider</t>
  </si>
  <si>
    <t xml:space="preserve">Round 3: Email article: user inputs 'the address and password of the email that will be used to send out motion alert emails' and, if needed, SMTP server and port; attachments (picture/video) are optional. Privacy policy says the email address and password are stored on the Reolink device and not uploaded to Reolink servers, so the alert goes from the camera to the user's own mail provider (consistent with handling_context=pat:thirdPartyServiceProvider, but that provider is the user's choice, not a Reolink-chosen one). Disable path: the policy says it can be disabled via Settings &gt; Email Alerts &gt; Disable Email Alerts (seen once; the setup article gives no disable steps). Triggering events are motion plus timer schedule emails; detection types vary by model. Quote (from a summarised fetch, unverified): "Input the address and password of the email that will be used to send out motion alert emails" (360004189434-How-to-Set-up-Email-Alerts-via-Reol)</t>
  </si>
  <si>
    <t xml:space="preserve">reolink-e1-zoom.live-video-shared-to-alexa-google-assistant-display</t>
  </si>
  <si>
    <t xml:space="preserve">Live video shared to Alexa / Google Assistant display when integration is enabled</t>
  </si>
  <si>
    <t xml:space="preserve">pat:smartDisplayViewing</t>
  </si>
  <si>
    <t xml:space="preserve">ck-3bc70a3a</t>
  </si>
  <si>
    <t xml:space="preserve">Link your Reolink account and enable the smart home skill per camera</t>
  </si>
  <si>
    <t xml:space="preserve">Live video is shared with an Alexa or Google Assistant display only after you link your Reolink account and enable the smart-home skill for that camera in the Reolink App.</t>
  </si>
  <si>
    <t xml:space="preserve">reolink-e1-zoom.src12; reolink-e1-zoom.src13; reolink-e1-zoom.src3; reolink-e1-zoom.src6</t>
  </si>
  <si>
    <t xml:space="preserve">visual-data-smart-display-viewing-transfer-smart-home-ecosystem</t>
  </si>
  <si>
    <t xml:space="preserve">Round 3: Product page advertises Alexa/Google Assistant 'Baby Monitor' display for the E1 Zoom; the Alexa and Google Home articles do not name E1 Zoom (Alexa table: 'Other Reolink Cameras: Yes'). Linking needs a Reolink account; Alexa live preview runs 5 minutes continuously; Google recommends 'a Chromecast or a Google smart display'. Neither article documents unlinking/disabling steps (only the per-device enable toggle, which implies an off state). Account FAQ: deleting a camera from the app unlinks it from Cloud and Smart Home; hard reset (src6) also unlinks it. Account is optional per src2. Quote (from a summarised fetch, unverified): "Cameras with smart home support allow live view in the Alexa App and on Alexa screen devices." (360037976953-How-to-Add-Reolink-Cameras-to-Amazo)</t>
  </si>
  <si>
    <t xml:space="preserve">reolink-e1-zoom.device-uid-sent-to-reolink-for-device-binding</t>
  </si>
  <si>
    <t xml:space="preserve">Device UID sent to Reolink for device binding</t>
  </si>
  <si>
    <t xml:space="preserve">ck-7c56cc04</t>
  </si>
  <si>
    <t xml:space="preserve">Scan the QR code on the back of the camera / enter the UID</t>
  </si>
  <si>
    <t xml:space="preserve">You scan the camera's QR code or enter its UID in the Reolink App during setup to add the camera.</t>
  </si>
  <si>
    <t xml:space="preserve">reolink-e1-zoom.src1; reolink-e1-zoom.src23; reolink-e1-zoom.src27; reolink-e1-zoom.src5; reolink-e1-zoom.src7</t>
  </si>
  <si>
    <t xml:space="preserve">identifier-data-device-setup-transfer-reolink-service</t>
  </si>
  <si>
    <t xml:space="preserve">Round 3: Kept setup_step: src1 has the user scan the camera QR code or type the 16-digit UID. Caveat on the team's suggestion to switch to none_documented: the UID article says UID is on by default and 'you may choose to disable UID (if supported)' (toggle in Reolink Client/web/NVR), so a post-setup toggle may exist, but the article does not name E1 Zoom and excludes E1/E1 Pro from its web method; I could not confirm an E1 Zoom toggle, so I did not switch to user_setting. Necessity: 'Once UID is enabled, you can add your device using its UID or QR code and access it remotely' - the feature is adding the camera to the Reolink App and remote access (LAN-only use is not ruled out). No page says the UID is 'sent to Reolink'; the privacy policy says only that binding collects 'the serial number of the product you bind' - UID and serial number may not be the same thing. Quote (from a summarised fetch, unverified): "enter the UID (16-digit characters under the QR code of the camera)." (360020094714-How-to-Initially-Set-up-Reolink-WiF) Earlier note: Sent automatically during setup - the user does not choose. Consider none_documented + required_for_feature instead of setup_step.</t>
  </si>
  <si>
    <t xml:space="preserve">reolink-e1-zoom.device-model-setup-information-sent-to-reolink</t>
  </si>
  <si>
    <t xml:space="preserve">Device model / setup information sent to Reolink</t>
  </si>
  <si>
    <t xml:space="preserve">ppd:deviceAndNetworkData</t>
  </si>
  <si>
    <t xml:space="preserve">device-and-network-data-device-setup-transfer-reolink-service</t>
  </si>
  <si>
    <t xml:space="preserve">Round 3: Changed setup_step -&gt; none_documented: no source shows the user providing or choosing device model/setup information (it is collected automatically), and no way to limit it is documented. Checked: setup guide src1 and setup hub https://support.reolink.com/articles/360015674314-How-to-Initially-Set-up-Reolink-Devices/, Hard Reset article, privacy policy https://reolink.com/us/privacy-policy/ (only: serial number collected on binding, IP address and system logs, device type/model under the optional User Experience Program), E1 Zoom product page and FAQ. Evidence stays needs_source: no page states that model/setup information is sent to Reolink at setup. Necessity unknown: no page says what stops working without it. Earlier note: Sent automatically during setup - the user does not choose. Consider none_documented + required_for_feature instead of setup_step.</t>
  </si>
  <si>
    <t xml:space="preserve">reolink-e1-zoom.wi-fi-ssid-accessed-locally-during-setup-and</t>
  </si>
  <si>
    <t xml:space="preserve">Wi-Fi SSID accessed locally during setup and not uploaded/retained by Reolink</t>
  </si>
  <si>
    <t xml:space="preserve">pat:wifiNetworkName</t>
  </si>
  <si>
    <t xml:space="preserve">retention=ppd:ephemeral</t>
  </si>
  <si>
    <t xml:space="preserve">ck-a1701ec2</t>
  </si>
  <si>
    <t xml:space="preserve">Upon your informed consent ... location (WiFi SSID)</t>
  </si>
  <si>
    <t xml:space="preserve">The Reolink App asks for your permission to read the Wi-Fi name during setup, and Reolink's privacy policy says it does not upload or keep it.</t>
  </si>
  <si>
    <t xml:space="preserve">reolink-e1-zoom.src7</t>
  </si>
  <si>
    <t xml:space="preserve">wifi-network-name-device-setup-collection-household-context</t>
  </si>
  <si>
    <t xml:space="preserve">Round 3: Kept setup_step. Privacy policy states consent-based access to the 'location (WiFi SSID)', that such permissions are used only 'to help you make input and connect your device to the Internet' and that Reolink 'will not upload or keep any of such data'. It also says permissions can be enabled or disabled in the phone's Settings &gt; Application Permissions, so the permission can be withdrawn later. Necessity unknown: nothing says whether the Wi-Fi name can be typed in by hand when permission is refused. Retention=ephemeral matches the policy statement. Quote (from a summarised fetch, unverified): "Upon your informed consent, we will request access to the location (WiFi SSID) of your device." (privacy-policy)</t>
  </si>
  <si>
    <t xml:space="preserve">reolink-e1-zoom.optional-reolink-app-usage-analytics-experience-program-telemetry</t>
  </si>
  <si>
    <t xml:space="preserve">Optional Reolink App usage analytics / experience-program telemetry</t>
  </si>
  <si>
    <t xml:space="preserve">Join or quit the User Experience Program in App Settings</t>
  </si>
  <si>
    <t xml:space="preserve">You can join or leave the User Experience Program in the Reolink App's settings.</t>
  </si>
  <si>
    <t xml:space="preserve">reolink-e1-zoom.src17; reolink-e1-zoom.src7</t>
  </si>
  <si>
    <t xml:space="preserve">usage-data-usage-efficiency-transfer-reolink-service</t>
  </si>
  <si>
    <t xml:space="preserve">Round 3: Program page: participation means you 'expressly agree' to collection of device types, models, language, OS versions, app versions, region and 'total clicks of each feature'. The privacy policy repeats that it is opt-in and can be exited via App Settings &gt; User Experience Program, and also says Reolink uses a third-party analytics tool, Google Analytics - so the row's handling_context=pat:reolinkService omits a third party (notes only). The program page itself does not name Google Analytics. Quote (from a summarised fetch, unverified): "You are free to join or quit the program via Settings in Reolink App at any time as you wish." (user-experience-program)</t>
  </si>
  <si>
    <t xml:space="preserve">Declaration device_id (example)</t>
  </si>
  <si>
    <t xml:space="preserve">Flows</t>
  </si>
  <si>
    <t xml:space="preserve">Declaration statements</t>
  </si>
  <si>
    <t xml:space="preserve">Device-level controls</t>
  </si>
  <si>
    <t xml:space="preserve">aqara-w200-01</t>
  </si>
  <si>
    <t xml:space="preserve">level-lock-01</t>
  </si>
  <si>
    <t xml:space="preserve">lg-oled65c6pua-c6-01</t>
  </si>
  <si>
    <t xml:space="preserve">reolink-e1-zoom-01</t>
  </si>
  <si>
    <t xml:space="preserve">Privacy Mode</t>
  </si>
  <si>
    <t xml:space="preserve">Setup</t>
  </si>
  <si>
    <t xml:space="preserve">Runtime</t>
  </si>
  <si>
    <t xml:space="preserve">Control: user_setting</t>
  </si>
  <si>
    <t xml:space="preserve">Control: setup_step</t>
  </si>
  <si>
    <t xml:space="preserve">Control: user_initiated</t>
  </si>
  <si>
    <t xml:space="preserve">Control: external_request</t>
  </si>
  <si>
    <t xml:space="preserve">Control: none_documented</t>
  </si>
  <si>
    <t xml:space="preserve">Control: unknown</t>
  </si>
  <si>
    <t xml:space="preserve">Necessity: optional</t>
  </si>
  <si>
    <t xml:space="preserve">Necessity: required_for_feature</t>
  </si>
  <si>
    <t xml:space="preserve">Necessity: unknown</t>
  </si>
  <si>
    <t xml:space="preserve">Evidence: source_linked</t>
  </si>
  <si>
    <t xml:space="preserve">Evidence: needs_source</t>
  </si>
  <si>
    <t xml:space="preserve">Total</t>
  </si>
  <si>
    <t xml:space="preserve">Checks (should all be 0)</t>
  </si>
  <si>
    <t xml:space="preserve">Runtime = Flows minus 'setup' only, so the one 'setup+runtime' flow is counted under Runtime (same as before).</t>
  </si>
  <si>
    <t xml:space="preserve">Devices (count)</t>
  </si>
  <si>
    <t xml:space="preserve">Device IDs</t>
  </si>
  <si>
    <t xml:space="preserve">ppd:coreFunctionality</t>
  </si>
  <si>
    <t xml:space="preserve">aqara-w200, level-lock, lg-oled65c6pua-c6, reolink-e1-zoom</t>
  </si>
  <si>
    <t xml:space="preserve">ppd:vendorContext</t>
  </si>
  <si>
    <t xml:space="preserve">aqara-w200, level-lock, lg-oled65c6pua-c6</t>
  </si>
  <si>
    <t xml:space="preserve">ppd:sensorData</t>
  </si>
  <si>
    <t xml:space="preserve">aqara-w200, lg-oled65c6pua-c6, reolink-e1-zoom</t>
  </si>
  <si>
    <t xml:space="preserve">ppd:analyticsAndImprovement</t>
  </si>
  <si>
    <t xml:space="preserve">ppd:thirdPartyProvided</t>
  </si>
  <si>
    <t xml:space="preserve">aqara-w200, level-lock</t>
  </si>
  <si>
    <t xml:space="preserve">level-lock, reolink-e1-zoom</t>
  </si>
  <si>
    <t xml:space="preserve">level-lock, lg-oled65c6pua-c6</t>
  </si>
  <si>
    <t xml:space="preserve">ppd:contentData</t>
  </si>
  <si>
    <t xml:space="preserve">ppd:personalization</t>
  </si>
  <si>
    <t xml:space="preserve">ppd:thirdPartyContext</t>
  </si>
  <si>
    <t xml:space="preserve">ppd:profileData</t>
  </si>
  <si>
    <t xml:space="preserve">ppd:communicationsAndNotifications</t>
  </si>
  <si>
    <t xml:space="preserve">Source ID</t>
  </si>
  <si>
    <t xml:space="preserve">URL</t>
  </si>
  <si>
    <t xml:space="preserve">Covers Crosscheck item(s)</t>
  </si>
  <si>
    <t xml:space="preserve">Source type</t>
  </si>
  <si>
    <t xml:space="preserve">aqara-w200.src1</t>
  </si>
  <si>
    <t xml:space="preserve">https://store-support.aqara.com/products/thermostat-hub-w200</t>
  </si>
  <si>
    <t xml:space="preserve">Setup: Wi-Fi credentials during pairing</t>
  </si>
  <si>
    <t xml:space="preserve">vendor</t>
  </si>
  <si>
    <t xml:space="preserve">https://us.aqara.com/pages/privacy-policy</t>
  </si>
  <si>
    <t xml:space="preserve">Setup: Aqara account creation; Account registration/profile; Device diagnostics; Install/pairing location metadata; Precise geolocation for marketing analytics; Photo/video uploaded to customer support; Website/app analytics shared with Google/Facebook/ad networks</t>
  </si>
  <si>
    <t xml:space="preserve">https://www.aqara.com/en/w200-compatibility/</t>
  </si>
  <si>
    <t xml:space="preserve">HVAC system profile / wiring questionnaire</t>
  </si>
  <si>
    <t xml:space="preserve">aqara-w200.src4</t>
  </si>
  <si>
    <t xml:space="preserve">https://www.aqara.com/en/product/thermostat-hub-w200/</t>
  </si>
  <si>
    <t xml:space="preserve">Temperature/humidity sensing; mmWave presence/occupancy</t>
  </si>
  <si>
    <t xml:space="preserve">https://www.aqara.com/us/product/thermostat-hub-w200/</t>
  </si>
  <si>
    <t xml:space="preserve">US-locale page of the same W200 product page as src4. Used for: linked temperature/humidity sensors; built-in mmWave presence and screen wake; doorbell snapshots, lock unlock and scene control from the screen; Zigbee hub / Matter bridge to Apple Home, Google Home, Alexa, SmartThings, Home Assistant; voice control; remote control from the phone</t>
  </si>
  <si>
    <t xml:space="preserve">aqara-w200.src6</t>
  </si>
  <si>
    <t xml:space="preserve">https://m.media-amazon.com/images/I/E1KRxtQlDsL.pdf</t>
  </si>
  <si>
    <t xml:space="preserve">Aqara Home app + account requirement; built-in sensor wakes the screen; Matter binding/unbinding; mode and temperature adjustable in the app; schedules can be disabled</t>
  </si>
  <si>
    <t xml:space="preserve">aqara-w200.src7</t>
  </si>
  <si>
    <t xml:space="preserve">https://forum.aqara.com/t/thermostat-hub-w200-user-guide-faq-does-it-support-taking-the-average-of-multiple-linked-sensors/280776</t>
  </si>
  <si>
    <t xml:space="preserve">Doorbell/lock linking (add to Aqara account first, same LAN); Follow Presence release note; Apple Home Predictive Arrival and Adaptive Temperature</t>
  </si>
  <si>
    <t xml:space="preserve">aqara-w200.src8</t>
  </si>
  <si>
    <t xml:space="preserve">https://www.macrumors.com/review/aqara-w200-thermostat/</t>
  </si>
  <si>
    <t xml:space="preserve">mmWave radar wakes the display on approach; Matter / Apple Home setup is separate from the Aqara app</t>
  </si>
  <si>
    <t xml:space="preserve">third_party</t>
  </si>
  <si>
    <t xml:space="preserve">aqara-w200.src9</t>
  </si>
  <si>
    <t xml:space="preserve">https://restechtoday.com/?p=70992</t>
  </si>
  <si>
    <t xml:space="preserve">mmWave used to wake the screen on approach; Matter v1.4 hub; Aqara app for customisation</t>
  </si>
  <si>
    <t xml:space="preserve">level-lock.src1</t>
  </si>
  <si>
    <t xml:space="preserve">https://level.co/support/articles/how-to-add-a-matter-enabled-level-lock-to-a-smart-home-ecosystem-app/</t>
  </si>
  <si>
    <t xml:space="preserve">Bluetooth/Matter pairing credential</t>
  </si>
  <si>
    <t xml:space="preserve">level-lock.src2</t>
  </si>
  <si>
    <t xml:space="preserve">https://level.co/support/articles/level-home-app-account/</t>
  </si>
  <si>
    <t xml:space="preserve">Level account creation</t>
  </si>
  <si>
    <t xml:space="preserve">level-lock.src3</t>
  </si>
  <si>
    <t xml:space="preserve">https://level.co/support/articles/admin-vs-guest-access/</t>
  </si>
  <si>
    <t xml:space="preserve">Household member access provisioning; Access history shared across household members</t>
  </si>
  <si>
    <t xml:space="preserve">level-lock.src4</t>
  </si>
  <si>
    <t xml:space="preserve">https://level.co/support/articles/what-is-new-in-the-level-home-app/</t>
  </si>
  <si>
    <t xml:space="preserve">Unlock/lock events</t>
  </si>
  <si>
    <t xml:space="preserve">level-lock.src5</t>
  </si>
  <si>
    <t xml:space="preserve">https://level.co/support/articles/level-lock-pro-explained/</t>
  </si>
  <si>
    <t xml:space="preserve">Remote/voice unlock via Apple/Alexa/Google/SmartThings</t>
  </si>
  <si>
    <t xml:space="preserve">https://level.co/legal/</t>
  </si>
  <si>
    <t xml:space="preserve">Diagnostic/firmware data</t>
  </si>
  <si>
    <t xml:space="preserve">level-lock.src7</t>
  </si>
  <si>
    <t xml:space="preserve">https://level.co/stories/sharing-access/</t>
  </si>
  <si>
    <t xml:space="preserve">Guest/app invitations, keycards, keypad codes, removing access (rows 4, 9, 10)</t>
  </si>
  <si>
    <t xml:space="preserve">level-lock.src8</t>
  </si>
  <si>
    <t xml:space="preserve">https://level.co/downloads/Prosumer-Lock-Connect-Front-1.pdf</t>
  </si>
  <si>
    <t xml:space="preserve">Lock usage (unlocks/locks, users) viewed in app; remote control; internet-dependent features (rows 5, 6, 7, 8, 15, 16)</t>
  </si>
  <si>
    <t xml:space="preserve">level-lock.src9</t>
  </si>
  <si>
    <t xml:space="preserve">https://level.co/level-lock-pro/</t>
  </si>
  <si>
    <t xml:space="preserve">Remote access needs Level Connect or Matter hub; Matter voice/routines; Auto Lock/Unlock; door status (rows 6, 12, 15, 16, 17, 18)</t>
  </si>
  <si>
    <t xml:space="preserve">level-lock.src10</t>
  </si>
  <si>
    <t xml:space="preserve">https://level.co/level-bolt/</t>
  </si>
  <si>
    <t xml:space="preserve">Add people, passes and keypad codes in the app; Auto lock/unlock; remote via Matter/Level Connect (rows 10, 12, 15)</t>
  </si>
  <si>
    <t xml:space="preserve">level-lock.src11</t>
  </si>
  <si>
    <t xml:space="preserve">https://level.co/level-lock/</t>
  </si>
  <si>
    <t xml:space="preserve">Activity history in app; Auto lock/unlock; remote unlock requires Level Connect or Matter hub (rows 7, 12, 15)</t>
  </si>
  <si>
    <t xml:space="preserve">level-lock.src12</t>
  </si>
  <si>
    <t xml:space="preserve">https://level.co/stories/recovery-keys-why-we-dont-store-them-and-why-thats-a-good-thing/</t>
  </si>
  <si>
    <t xml:space="preserve">Lock linked to account; account deletion request; factory reset clears linked credentials (rows 3, 10)</t>
  </si>
  <si>
    <t xml:space="preserve">level-lock.src13</t>
  </si>
  <si>
    <t xml:space="preserve">https://level.co/images/products/Level-Lock-Plus/Level-Lock-Plus_Supplement-For-Apple-Users.pdf</t>
  </si>
  <si>
    <t xml:space="preserve">Create account in Level Home app to activate lock; enable HomeKit for Home Key (rows 2, 3, 17)</t>
  </si>
  <si>
    <t xml:space="preserve">level-lock.src14</t>
  </si>
  <si>
    <t xml:space="preserve">https://level.co/products/keypad</t>
  </si>
  <si>
    <t xml:space="preserve">Create and share unique codes with guests; up to 50 codes (row 10)</t>
  </si>
  <si>
    <t xml:space="preserve">level-lock.src15</t>
  </si>
  <si>
    <t xml:space="preserve">https://level.co/downloads/50-Connect-Keypad-1.pdf</t>
  </si>
  <si>
    <t xml:space="preserve">Keypad codes; Level Connect enables remote operation and keypad code updates (rows 10, 15)</t>
  </si>
  <si>
    <t xml:space="preserve">level-lock.src16</t>
  </si>
  <si>
    <t xml:space="preserve">https://apps.apple.com/us/app/level-home/id1490027518</t>
  </si>
  <si>
    <t xml:space="preserve">App privacy label: location, contact info, identifiers, diagnostics; activity history and sharing description (rows 7, 11, 13, 19, 20)</t>
  </si>
  <si>
    <t xml:space="preserve">level-lock.src17</t>
  </si>
  <si>
    <t xml:space="preserve">https://www.trunetto.com/troubleshooting/smart-locks/level/level-lock-auto-unlock-not-working</t>
  </si>
  <si>
    <t xml:space="preserve">SECONDARY: Auto-Unlock toggle in app, 'Always' location permission, geofence, Bluetooth (rows 11, 12)</t>
  </si>
  <si>
    <t xml:space="preserve">level-lock.src18</t>
  </si>
  <si>
    <t xml:space="preserve">https://macrumors.com/review/level-lock-pro/</t>
  </si>
  <si>
    <t xml:space="preserve">SECONDARY: Apple Home shows lock/door state, notifications and activity log; Level Connect optional (rows 12, 17, 18)</t>
  </si>
  <si>
    <t xml:space="preserve">level-lock.src19</t>
  </si>
  <si>
    <t xml:space="preserve">https://level.co/press/level-launches-level-lock-pro-the-ultimate-blend-of-design-performance-and-security/</t>
  </si>
  <si>
    <t xml:space="preserve">Matter platforms; Bluetooth works if internet/power out; auto-lock, activity history, guest sharing standard (rows 6, 15, 17)</t>
  </si>
  <si>
    <t xml:space="preserve">level-lock.src20</t>
  </si>
  <si>
    <t xml:space="preserve">https://level.co/press/introducing-level-lock-matter-the-worlds-most-advanced-smart-lock/</t>
  </si>
  <si>
    <t xml:space="preserve">Level Home app: real-time activity history, enable auto lock and unlock, share access with guests (rows 4, 7, 12)</t>
  </si>
  <si>
    <t xml:space="preserve">level-lock.src21</t>
  </si>
  <si>
    <t xml:space="preserve">https://level.co/stories/convenience-level-lock-plus-connect/</t>
  </si>
  <si>
    <t xml:space="preserve">Remote lock/unlock in Level Home app; Real-Time Activity History (rows 7, 15)</t>
  </si>
  <si>
    <t xml:space="preserve">level-lock.src22</t>
  </si>
  <si>
    <t xml:space="preserve">https://ring.com/support/articles/al96f/Setting-up-and-using-Level-locks-in-the-Ring-app</t>
  </si>
  <si>
    <t xml:space="preserve">SECONDARY: Level Home app account must be created before linking (row 3)</t>
  </si>
  <si>
    <t xml:space="preserve">level-lock.src23</t>
  </si>
  <si>
    <t xml:space="preserve">https://www.seam.co/img/device-db/level/manuals/level_lock_installation-manual.pdf</t>
  </si>
  <si>
    <t xml:space="preserve">SECONDARY: add lock to Level Home app; HomeKit-first needs factory reset / 30-minute window; last action shown in app (rows 2, 5)</t>
  </si>
  <si>
    <t xml:space="preserve">level-lock.src24</t>
  </si>
  <si>
    <t xml:space="preserve">https://level.co/images/news/Level-Lock-Plus-Press-Release.pdf</t>
  </si>
  <si>
    <t xml:space="preserve">Guest sharing, auto lock and unlock, optional Level Keypad accessory (rows 4, 10, 12)</t>
  </si>
  <si>
    <t xml:space="preserve">level-lock.src25</t>
  </si>
  <si>
    <t xml:space="preserve">https://level.co/matter-smart-lock-guide/</t>
  </si>
  <si>
    <t xml:space="preserve">Matter multi-platform control; existing Level Bolt cannot be updated to Matter (rows 17, 18; model differences)</t>
  </si>
  <si>
    <t xml:space="preserve">lg-oled65c6pua-c6.src1</t>
  </si>
  <si>
    <t xml:space="preserve">https://www.lg.com/us/support/help-library/lg-tvs-how-to-use-the-lg-content-store-with-webos-CT10000030-20150291623404</t>
  </si>
  <si>
    <t xml:space="preserve">LG account creation + Wi-Fi credentials</t>
  </si>
  <si>
    <t xml:space="preserve">lg-oled65c6pua-c6.src2</t>
  </si>
  <si>
    <t xml:space="preserve">https://www.lg.com/us/newsroom/corporate/statement-understanding-privacy-on-lg-smart-tvs</t>
  </si>
  <si>
    <t xml:space="preserve">HDMI input-device scan; Voice command capture; AI-driven usage/content analysis; Data shared with co-marketing/business partners; LivePlus / ACR content matching; ACR data shared with ad partners</t>
  </si>
  <si>
    <t xml:space="preserve">lg-oled65c6pua-c6.src3</t>
  </si>
  <si>
    <t xml:space="preserve">https://www.lg.com/us/support/help-library/how-to-accept-the-updated-user-agreements-on-your-lg-tv--20155426555618</t>
  </si>
  <si>
    <t xml:space="preserve">LG account / required vs optional agreements; viewing information, voice and personalized-ads agreements are optional; Settings &gt; Privacy &amp; Terms &gt; User Agreements</t>
  </si>
  <si>
    <t xml:space="preserve">lg-oled65c6pua-c6.src4</t>
  </si>
  <si>
    <t xml:space="preserve">https://www.lg.com/us/tvs/lg-oled65c6pua-oled-4k-tv</t>
  </si>
  <si>
    <t xml:space="preserve">LG account required for smart services; Google Gemini on webOS</t>
  </si>
  <si>
    <t xml:space="preserve">https://www.lg.com/us/support/help-library/lg-webos-tv-automatic-power-saving-mode-CT10000018-20154712829405</t>
  </si>
  <si>
    <t xml:space="preserve">Ambient-light sensing for automatic brightness; Energy Saving Off setting</t>
  </si>
  <si>
    <t xml:space="preserve">lg-oled65c6pua-c6.src6</t>
  </si>
  <si>
    <t xml:space="preserve">https://www.lg.com/us/support/help-library/lg-tv-using-voice-commands--20153219134177</t>
  </si>
  <si>
    <t xml:space="preserve">Voice recognition enable setting (webOS 5.0/6.0/22 menus); internet needed for voice settings</t>
  </si>
  <si>
    <t xml:space="preserve">lg-oled65c6pua-c6.src7</t>
  </si>
  <si>
    <t xml:space="preserve">https://www.lg.com/us/support/help-library/lg-tv-how-to-enable-hdmi-cec--20153164607551</t>
  </si>
  <si>
    <t xml:space="preserve">HDMI-connected external device linking; SIMPLINK toggle</t>
  </si>
  <si>
    <t xml:space="preserve">lg-oled65c6pua-c6.src8</t>
  </si>
  <si>
    <t xml:space="preserve">https://www.lg.com/ca_en/tv-soundbars/lg-ai-tv-playbook/</t>
  </si>
  <si>
    <t xml:space="preserve">Gemini prompt to third-party AI (AI Search / AI button); LG account needed for smart services</t>
  </si>
  <si>
    <t xml:space="preserve">lg-oled65c6pua-c6.src9</t>
  </si>
  <si>
    <t xml:space="preserve">https://www.lg.com/global/newsroom/news/statements/statement-understanding-privacy-on-lg-smart-tvs/</t>
  </si>
  <si>
    <t xml:space="preserve">Corroborates US statement: ACR, voice, HDMI device info, Wi-Fi access-point info, LG Ad Solutions, voice technical logs</t>
  </si>
  <si>
    <t xml:space="preserve">lg-oled65c6pua-c6.src10</t>
  </si>
  <si>
    <t xml:space="preserve">https://www.consumerreports.org/electronics/privacy/how-to-turn-off-smart-tv-snooping-features-a4840102036/</t>
  </si>
  <si>
    <t xml:space="preserve">Menu path Settings &gt; All Settings &gt; Support &gt; Privacy &amp; Terms; Viewing Information / Voice Information / Interest-Based agreements; Do Not Sell toggle</t>
  </si>
  <si>
    <t xml:space="preserve">lg-oled65c6pua-c6.src11</t>
  </si>
  <si>
    <t xml:space="preserve">https://www.texasattorneygeneral.gov/news/releases/attorney-general-ken-paxton-secures-major-agreement-lg-protect-texans-privacy-and-stop-data-being</t>
  </si>
  <si>
    <t xml:space="preserve">Context for ACR consent pop-up and opt-out requirements</t>
  </si>
  <si>
    <t xml:space="preserve">lg-oled65c6pua-c6.src12</t>
  </si>
  <si>
    <t xml:space="preserve">https://www.tomsguide.com/tvs/your-lg-tv-could-be-tracking-devices-on-your-home-wi-fi-heres-how-to-stop-it</t>
  </si>
  <si>
    <t xml:space="preserve">LG describes LAN device scanning as a standard function; no dedicated toggle; Live Plus menu path</t>
  </si>
  <si>
    <t xml:space="preserve">https://support.reolink.com/articles/360020094714-How-to-Initially-Set-up-Reolink-WiFi-Cameras-without-LAN-Port-via-Reolink-App/</t>
  </si>
  <si>
    <t xml:space="preserve">Wi-Fi credentials + device UID pairing</t>
  </si>
  <si>
    <t xml:space="preserve">reolink-e1-zoom.src2</t>
  </si>
  <si>
    <t xml:space="preserve">https://support.reolink.com/articles/29100983585177-Reolink-Account-FAQ/</t>
  </si>
  <si>
    <t xml:space="preserve">Reolink account optional</t>
  </si>
  <si>
    <t xml:space="preserve">reolink-e1-zoom.src3</t>
  </si>
  <si>
    <t xml:space="preserve">https://reolink.com/us/product/e1-zoom/</t>
  </si>
  <si>
    <t xml:space="preserve">Motion-triggered recording; PTZ auto-tracking / motion detection</t>
  </si>
  <si>
    <t xml:space="preserve">reolink-e1-zoom.src4</t>
  </si>
  <si>
    <t xml:space="preserve">https://support.reolink.com/articles/11568472513689-FAQs-E1-Zoom/</t>
  </si>
  <si>
    <t xml:space="preserve">Optional Reolink Cloud backup</t>
  </si>
  <si>
    <t xml:space="preserve">reolink-e1-zoom.src5</t>
  </si>
  <si>
    <t xml:space="preserve">https://support.reolink.com/articles/360015674314-How-to-Initially-Set-up-Reolink-Devices/</t>
  </si>
  <si>
    <t xml:space="preserve">Wi-Fi credentials via QR code; QR scan / UID binding (index only, thin)</t>
  </si>
  <si>
    <t xml:space="preserve">reolink-e1-zoom.src6</t>
  </si>
  <si>
    <t xml:space="preserve">https://support.reolink.com/articles/900000593463-How-to-Hard-Reset-Device-by-Pressing-the-Reset-Button/</t>
  </si>
  <si>
    <t xml:space="preserve">What a reset restores; unlinking from cloud/smart home (setup credentials, cloud, smart-home rows)</t>
  </si>
  <si>
    <t xml:space="preserve">https://reolink.com/us/privacy-policy/</t>
  </si>
  <si>
    <t xml:space="preserve">Wi-Fi SSID permission; device binding serial number; push alerts; email alerts; User Experience Program; retention; data requests</t>
  </si>
  <si>
    <t xml:space="preserve">reolink-e1-zoom.src8</t>
  </si>
  <si>
    <t xml:space="preserve">https://support.reolink.com/articles/37046076925209-Introduction-to-Reolink-Privacy-Mode/</t>
  </si>
  <si>
    <t xml:space="preserve">Video/audio capture, alarms, recording; Privacy Mode toggle (lists E1 Zoom)</t>
  </si>
  <si>
    <t xml:space="preserve">reolink-e1-zoom.src9</t>
  </si>
  <si>
    <t xml:space="preserve">https://support.reolink.com/articles/900000501143-Introduction-to-Push-Notification/</t>
  </si>
  <si>
    <t xml:space="preserve">Push alert path: device -&gt; Reolink server -&gt; Google/Apple</t>
  </si>
  <si>
    <t xml:space="preserve">reolink-e1-zoom.src10</t>
  </si>
  <si>
    <t xml:space="preserve">https://support.reolink.com/articles/360004189214-How-to-Enable-Push-Notifications-on-iOS-and-Android-Phones/</t>
  </si>
  <si>
    <t xml:space="preserve">Per-camera push toggle; detection types; phone OS permission</t>
  </si>
  <si>
    <t xml:space="preserve">reolink-e1-zoom.src11</t>
  </si>
  <si>
    <t xml:space="preserve">https://support.reolink.com/articles/360004189434-How-to-Set-up-Email-Alerts-via-Reolink-App/</t>
  </si>
  <si>
    <t xml:space="preserve">Email alert setup with user's own sender account / SMTP</t>
  </si>
  <si>
    <t xml:space="preserve">reolink-e1-zoom.src12</t>
  </si>
  <si>
    <t xml:space="preserve">https://support.reolink.com/articles/360037976953-How-to-Add-Reolink-Cameras-to-Amazon-Alexa/</t>
  </si>
  <si>
    <t xml:space="preserve">Alexa linking, Reolink account needed, live view on Alexa screens, per-device enable</t>
  </si>
  <si>
    <t xml:space="preserve">reolink-e1-zoom.src13</t>
  </si>
  <si>
    <t xml:space="preserve">https://support.reolink.com/articles/360020644034-How-to-Add-Reolink-Cameras-to-Google-Home/</t>
  </si>
  <si>
    <t xml:space="preserve">Google Home linking, Reolink account, smart display viewing</t>
  </si>
  <si>
    <t xml:space="preserve">reolink-e1-zoom.src14</t>
  </si>
  <si>
    <t xml:space="preserve">https://support.reolink.com/articles/900000580243-Do-Reolink-Cameras-Support-Audio-Detection/</t>
  </si>
  <si>
    <t xml:space="preserve">Cry sound detection (lists E1 Zoom); how to enable</t>
  </si>
  <si>
    <t xml:space="preserve">reolink-e1-zoom.src15</t>
  </si>
  <si>
    <t xml:space="preserve">https://support.reolink.com/articles/900000641926-A-Brief-Introduction-to-Reolink-Cloud/</t>
  </si>
  <si>
    <t xml:space="preserve">Cloud optional/subscription; motion event videos stored; E1 Zoom in clip-length table</t>
  </si>
  <si>
    <t xml:space="preserve">reolink-e1-zoom.src16</t>
  </si>
  <si>
    <t xml:space="preserve">https://support.reolink.com/articles/8710708567449-How-to-Set-up-Cloud-Storage-Time-for-Reolink-Cameras/</t>
  </si>
  <si>
    <t xml:space="preserve">Cloud storage time is user-set; expired videos auto-deleted</t>
  </si>
  <si>
    <t xml:space="preserve">reolink-e1-zoom.src17</t>
  </si>
  <si>
    <t xml:space="preserve">https://reolink.com/au/user-experience-program/</t>
  </si>
  <si>
    <t xml:space="preserve">Optional App analytics: device info and feature clicks; join/quit in App Settings</t>
  </si>
  <si>
    <t xml:space="preserve">reolink-e1-zoom.src18</t>
  </si>
  <si>
    <t xml:space="preserve">https://support.reolink.com/articles/14042664166169-How-to-Set-up-Auto-Tracking-for-Reolink-Cameras/</t>
  </si>
  <si>
    <t xml:space="preserve">Auto Tracking enable/disable under Smart Detection</t>
  </si>
  <si>
    <t xml:space="preserve">reolink-e1-zoom.src19</t>
  </si>
  <si>
    <t xml:space="preserve">https://support.reolink.com/articles/4405344985625-Introduction-to-Auto-Tracking/</t>
  </si>
  <si>
    <t xml:space="preserve">What auto tracking is; E1 Zoom listed in Applies to</t>
  </si>
  <si>
    <t xml:space="preserve">reolink-e1-zoom.src20</t>
  </si>
  <si>
    <t xml:space="preserve">https://support.reolink.com/articles/360004051354-How-to-Enable-Two-Way-Audio-via-Reolink-App/</t>
  </si>
  <si>
    <t xml:space="preserve">Tap-to-Talk two-way audio (lists E1 Zoom)</t>
  </si>
  <si>
    <t xml:space="preserve">reolink-e1-zoom.src21</t>
  </si>
  <si>
    <t xml:space="preserve">https://support.reolink.com/articles/360020081034-How-to-Set-up-FTP-for-Reolink-Products/</t>
  </si>
  <si>
    <t xml:space="preserve">User-configured FTP upload of video/pictures</t>
  </si>
  <si>
    <t xml:space="preserve">https://support.reolink.com/articles/360004687494-How-to-Change-Day-and-Night-Mode-via-Reolink-App/</t>
  </si>
  <si>
    <t xml:space="preserve">Auto / Color / Black &amp; White day-night modes</t>
  </si>
  <si>
    <t xml:space="preserve">reolink-e1-zoom.src23</t>
  </si>
  <si>
    <t xml:space="preserve">https://support.reolink.com/hc/en-us/articles/360013481134-How-to-Enable-UID-for-Reolink-Products</t>
  </si>
  <si>
    <t xml:space="preserve">UID = P2P remote access, on by default, toggle exists; add device by UID/QR</t>
  </si>
  <si>
    <t xml:space="preserve">reolink-e1-zoom.src24</t>
  </si>
  <si>
    <t xml:space="preserve">https://support.reolink.com/articles/8121678212889-How-to-Set-up-Smart-Detection-Settings-via-Reolink-App/</t>
  </si>
  <si>
    <t xml:space="preserve">Person / vehicle / animal alarm settings; alarm and recording schedules</t>
  </si>
  <si>
    <t xml:space="preserve">reolink-e1-zoom.src25</t>
  </si>
  <si>
    <t xml:space="preserve">https://support.reolink.com/articles/360003568753-How-to-Set-up-Motion-Detection-Sensitivity-via-Reolink-App/</t>
  </si>
  <si>
    <t xml:space="preserve">Motion detection sensitivity and schedule</t>
  </si>
  <si>
    <t xml:space="preserve">reolink-e1-zoom.src26</t>
  </si>
  <si>
    <t xml:space="preserve">https://support.reolink.com/articles/360015968874-How-to-Set-up-Recording-for-Reolink-Products/</t>
  </si>
  <si>
    <t xml:space="preserve">Record schedule options (Alarm / Timer / None); Record Audio option; microSD</t>
  </si>
  <si>
    <t xml:space="preserve">reolink-e1-zoom.src27</t>
  </si>
  <si>
    <t xml:space="preserve">https://support.reolink.com/hc/en-us/articles/360006937074</t>
  </si>
  <si>
    <t xml:space="preserve">UID used for set-up and remote access</t>
  </si>
  <si>
    <t xml:space="preserve">Control.type</t>
  </si>
  <si>
    <t xml:space="preserve">Value</t>
  </si>
  <si>
    <t xml:space="preserve">Label</t>
  </si>
  <si>
    <t xml:space="preserve">Meaning</t>
  </si>
  <si>
    <t xml:space="preserve">Change in settings</t>
  </si>
  <si>
    <t xml:space="preserve">A toggle, mode or choice the user can change after setup, in the app, on the device or in the account. Put where it is, and the default, in the cue.</t>
  </si>
  <si>
    <t xml:space="preserve">Provided during setup</t>
  </si>
  <si>
    <t xml:space="preserve">The user provides or decides this during setup or pairing. It says when the user acts. It does not mean the data is used only during setup, or that it is optional.</t>
  </si>
  <si>
    <t xml:space="preserve">Happens only when you do it</t>
  </si>
  <si>
    <t xml:space="preserve">The flow happens only when the user does something (sends a command, uploads a file, uses a feature). If the user does nothing, nothing flows.</t>
  </si>
  <si>
    <t xml:space="preserve">Only by contacting the vendor</t>
  </si>
  <si>
    <t xml:space="preserve">The flow keeps happening until the user contacts the vendor (opt-out email or form, rights request, account deletion). Needs a source naming the channel.</t>
  </si>
  <si>
    <t xml:space="preserve">No control found</t>
  </si>
  <si>
    <t xml:space="preserve">We checked the product page, support pages and privacy policy and found no way for the user to limit it. Record what was checked in Notes. This is not the same as 'not checked'.</t>
  </si>
  <si>
    <t xml:space="preserve">Not checked, or sources silent</t>
  </si>
  <si>
    <t xml:space="preserve">Not checked yet, or checked but the sources do not say or could not be read. Notes say which.</t>
  </si>
  <si>
    <t xml:space="preserve">Control.necessity</t>
  </si>
  <si>
    <t xml:space="preserve">Works without it</t>
  </si>
  <si>
    <t xml:space="preserve">The device or feature still works without this flow.</t>
  </si>
  <si>
    <t xml:space="preserve">Needed for [feature]</t>
  </si>
  <si>
    <t xml:space="preserve">The feature stops working without it. Name the feature in the control note or Notes.</t>
  </si>
  <si>
    <t xml:space="preserve">How to choose Control type (first match wins)</t>
  </si>
  <si>
    <t xml:space="preserve">1. Does the flow only happen when the user does something? -&gt; user_initiated</t>
  </si>
  <si>
    <t xml:space="preserve">2. Is there a toggle, mode or account setting? -&gt; user_setting (name a device-wide control such as Privacy Mode in the cue)</t>
  </si>
  <si>
    <t xml:space="preserve">3. Is the choice made only at onboarding? -&gt; setup_step</t>
  </si>
  <si>
    <t xml:space="preserve">4. Can the user only stop it by contacting the vendor or deleting the account? -&gt; external_request</t>
  </si>
  <si>
    <t xml:space="preserve">5. Did you check the product page, support pages and privacy policy and find nothing? -&gt; none_documented</t>
  </si>
  <si>
    <t xml:space="preserve">6. Not checked -&gt; unknown</t>
  </si>
  <si>
    <t xml:space="preserve">Necessity is separate: optional if the feature works without the flow; required_for_feature if it stops working (name the feature).</t>
  </si>
  <si>
    <t xml:space="preserve">Control note (draft) is a plain-language sentence for the app. Only state what a source supports; do not write 'at any time' unless the source does.</t>
  </si>
  <si>
    <t xml:space="preserve">Colours in Flows and Sources</t>
  </si>
  <si>
    <t xml:space="preserve">Light blue = changed in this round (Reolink articles, vendor sources, necessity, control type).</t>
  </si>
  <si>
    <t xml:space="preserve">Light green = changed in the previous round.</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</si>
</sst>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0"/>
      <charset val="1"/>
    </font>
    <font>
      <sz val="10"/>
      <name val="Arial"/>
      <family val="0"/>
    </font>
    <font>
      <sz val="10"/>
      <name val="Arial"/>
      <family val="0"/>
    </font>
    <font>
      <sz val="10"/>
      <name val="Arial"/>
      <family val="0"/>
    </font>
    <font>
      <b val="true"/>
      <sz val="11"/>
      <color rgb="FFFFFFFF"/>
      <name val="Calibri"/>
      <family val="0"/>
      <charset val="1"/>
    </font>
    <font>
      <b val="true"/>
      <sz val="11"/>
      <color theme="1"/>
      <name val="Calibri"/>
      <family val="0"/>
      <charset val="1"/>
    </font>
    <font>
      <b val="true"/>
      <sz val="11"/>
      <name val="Calibri"/>
      <family val="0"/>
      <charset val="1"/>
    </font>
    <font>
      <sz val="11"/>
      <name val="Calibri"/>
      <family val="0"/>
      <charset val="1"/>
    </font>
    <font>
      <i val="true"/>
      <sz val="11"/>
      <name val="Calibri"/>
      <family val="0"/>
      <charset val="1"/>
    </font>
    <font>
      <sz val="11"/>
      <color rgb="FFFFFFFF"/>
      <name val="Calibri"/>
      <family val="0"/>
      <charset val="1"/>
    </font>
  </fonts>
  <fills count="5">
    <fill>
      <patternFill patternType="none"/>
    </fill>
    <fill>
      <patternFill patternType="gray125"/>
    </fill>
    <fill>
      <patternFill patternType="solid">
        <fgColor rgb="FF1F3A5F"/>
        <bgColor rgb="FF333333"/>
      </patternFill>
    </fill>
    <fill>
      <patternFill patternType="solid">
        <fgColor rgb="FFE2F0D9"/>
        <bgColor rgb="FFDDEBF7"/>
      </patternFill>
    </fill>
    <fill>
      <patternFill patternType="solid">
        <fgColor rgb="FFDDEBF7"/>
        <bgColor rgb="FFE2F0D9"/>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F0D9"/>
          <bgColor rgb="FF000000"/>
        </patternFill>
      </fill>
    </dxf>
    <dxf>
      <fill>
        <patternFill patternType="solid">
          <fgColor rgb="FFFFF4D6"/>
          <bgColor rgb="FF000000"/>
        </patternFill>
      </fill>
    </dxf>
    <dxf>
      <fill>
        <patternFill>
          <bgColor rgb="FFFFF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DDEB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3" min="3" style="1" width="26"/>
    <col collapsed="false" customWidth="true" hidden="false" outlineLevel="0" max="4" min="4" style="1" width="13"/>
    <col collapsed="false" customWidth="true" hidden="false" outlineLevel="0" max="5" min="5" style="1" width="16"/>
    <col collapsed="false" customWidth="true" hidden="false" outlineLevel="0" max="6" min="6" style="1" width="10"/>
    <col collapsed="false" customWidth="true" hidden="false" outlineLevel="0" max="7" min="7" style="1" width="14"/>
    <col collapsed="false" customWidth="true" hidden="false" outlineLevel="0" max="8" min="8" style="1" width="52"/>
    <col collapsed="false" customWidth="true" hidden="false" outlineLevel="0" max="9" min="9" style="1" width="26"/>
    <col collapsed="false" customWidth="true" hidden="false" outlineLevel="0" max="10" min="10" style="1" width="28"/>
    <col collapsed="false" customWidth="true" hidden="false" outlineLevel="0" max="11" min="11" style="1" width="16"/>
    <col collapsed="false" customWidth="true" hidden="false" outlineLevel="0" max="12" min="12" style="1" width="24"/>
    <col collapsed="false" customWidth="true" hidden="false" outlineLevel="0" max="13" min="13" style="1" width="28"/>
    <col collapsed="false" customWidth="true" hidden="false" outlineLevel="0" max="14" min="14" style="1" width="26"/>
    <col collapsed="false" customWidth="true" hidden="false" outlineLevel="0" max="15" min="15" style="1" width="13"/>
    <col collapsed="false" customWidth="true" hidden="false" outlineLevel="0" max="16" min="16" style="1" width="20"/>
    <col collapsed="false" customWidth="true" hidden="false" outlineLevel="0" max="17" min="17" style="1" width="22"/>
    <col collapsed="false" customWidth="true" hidden="false" outlineLevel="0" max="18" min="18" style="1" width="38"/>
    <col collapsed="false" customWidth="true" hidden="false" outlineLevel="0" max="19" min="19" style="1" width="52"/>
    <col collapsed="false" customWidth="true" hidden="false" outlineLevel="0" max="20" min="20" style="1" width="14"/>
    <col collapsed="false" customWidth="true" hidden="false" outlineLevel="0" max="21" min="21" style="1" width="40"/>
    <col collapsed="false" customWidth="true" hidden="false" outlineLevel="0" max="22" min="22" style="1" width="48"/>
    <col collapsed="false" customWidth="true" hidden="false" outlineLevel="0" max="23" min="23" style="1" width="70"/>
  </cols>
  <sheetData>
    <row r="1" customFormat="false" ht="41.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customFormat="false" ht="27.75" hidden="false" customHeight="true" outlineLevel="0" collapsed="false">
      <c r="A2" s="3" t="s">
        <v>23</v>
      </c>
      <c r="B2" s="3" t="s">
        <v>24</v>
      </c>
      <c r="C2" s="3" t="s">
        <v>25</v>
      </c>
      <c r="D2" s="3" t="s">
        <v>26</v>
      </c>
      <c r="E2" s="3" t="s">
        <v>27</v>
      </c>
      <c r="F2" s="3" t="n">
        <v>2</v>
      </c>
      <c r="G2" s="3" t="s">
        <v>28</v>
      </c>
      <c r="H2" s="3" t="s">
        <v>29</v>
      </c>
      <c r="I2" s="3" t="s">
        <v>30</v>
      </c>
      <c r="J2" s="3" t="s">
        <v>31</v>
      </c>
      <c r="K2" s="3" t="s">
        <v>32</v>
      </c>
      <c r="L2" s="3" t="s">
        <v>33</v>
      </c>
      <c r="M2" s="3" t="s">
        <v>34</v>
      </c>
      <c r="N2" s="3"/>
      <c r="O2" s="3" t="s">
        <v>35</v>
      </c>
      <c r="P2" s="3" t="s">
        <v>36</v>
      </c>
      <c r="Q2" s="3" t="s">
        <v>37</v>
      </c>
      <c r="R2" s="3"/>
      <c r="S2" s="4" t="s">
        <v>38</v>
      </c>
      <c r="T2" s="3" t="s">
        <v>39</v>
      </c>
      <c r="U2" s="5" t="s">
        <v>40</v>
      </c>
      <c r="V2" s="6" t="s">
        <v>41</v>
      </c>
      <c r="W2" s="7" t="s">
        <v>42</v>
      </c>
    </row>
    <row r="3" customFormat="false" ht="27.75" hidden="false" customHeight="true" outlineLevel="0" collapsed="false">
      <c r="A3" s="3" t="s">
        <v>43</v>
      </c>
      <c r="B3" s="3" t="s">
        <v>24</v>
      </c>
      <c r="C3" s="3" t="s">
        <v>25</v>
      </c>
      <c r="D3" s="3" t="s">
        <v>26</v>
      </c>
      <c r="E3" s="3" t="s">
        <v>27</v>
      </c>
      <c r="F3" s="3" t="n">
        <v>3</v>
      </c>
      <c r="G3" s="3" t="s">
        <v>28</v>
      </c>
      <c r="H3" s="3" t="s">
        <v>44</v>
      </c>
      <c r="I3" s="3" t="s">
        <v>45</v>
      </c>
      <c r="J3" s="3" t="s">
        <v>46</v>
      </c>
      <c r="K3" s="3" t="s">
        <v>32</v>
      </c>
      <c r="L3" s="3" t="s">
        <v>33</v>
      </c>
      <c r="M3" s="3" t="s">
        <v>47</v>
      </c>
      <c r="N3" s="3"/>
      <c r="O3" s="3" t="s">
        <v>48</v>
      </c>
      <c r="P3" s="3" t="s">
        <v>36</v>
      </c>
      <c r="Q3" s="3" t="s">
        <v>37</v>
      </c>
      <c r="R3" s="3"/>
      <c r="S3" s="4" t="s">
        <v>49</v>
      </c>
      <c r="T3" s="3" t="s">
        <v>39</v>
      </c>
      <c r="U3" s="5" t="s">
        <v>50</v>
      </c>
      <c r="V3" s="6" t="s">
        <v>51</v>
      </c>
      <c r="W3" s="7" t="s">
        <v>52</v>
      </c>
    </row>
    <row r="4" customFormat="false" ht="41.25" hidden="false" customHeight="true" outlineLevel="0" collapsed="false">
      <c r="A4" s="3" t="s">
        <v>53</v>
      </c>
      <c r="B4" s="3" t="s">
        <v>24</v>
      </c>
      <c r="C4" s="3" t="s">
        <v>25</v>
      </c>
      <c r="D4" s="3" t="s">
        <v>26</v>
      </c>
      <c r="E4" s="3" t="s">
        <v>27</v>
      </c>
      <c r="F4" s="3" t="n">
        <v>4</v>
      </c>
      <c r="G4" s="3" t="s">
        <v>28</v>
      </c>
      <c r="H4" s="3" t="s">
        <v>54</v>
      </c>
      <c r="I4" s="3" t="s">
        <v>55</v>
      </c>
      <c r="J4" s="3" t="s">
        <v>31</v>
      </c>
      <c r="K4" s="3" t="s">
        <v>32</v>
      </c>
      <c r="L4" s="3" t="s">
        <v>33</v>
      </c>
      <c r="M4" s="3" t="s">
        <v>34</v>
      </c>
      <c r="N4" s="3"/>
      <c r="O4" s="3" t="s">
        <v>35</v>
      </c>
      <c r="P4" s="3" t="s">
        <v>36</v>
      </c>
      <c r="Q4" s="3" t="s">
        <v>37</v>
      </c>
      <c r="R4" s="3"/>
      <c r="S4" s="4" t="s">
        <v>56</v>
      </c>
      <c r="T4" s="3" t="s">
        <v>39</v>
      </c>
      <c r="U4" s="3" t="s">
        <v>57</v>
      </c>
      <c r="V4" s="6" t="s">
        <v>58</v>
      </c>
      <c r="W4" s="7" t="s">
        <v>59</v>
      </c>
    </row>
    <row r="5" customFormat="false" ht="54.75" hidden="false" customHeight="true" outlineLevel="0" collapsed="false">
      <c r="A5" s="3" t="s">
        <v>60</v>
      </c>
      <c r="B5" s="3" t="s">
        <v>24</v>
      </c>
      <c r="C5" s="3" t="s">
        <v>25</v>
      </c>
      <c r="D5" s="3" t="s">
        <v>26</v>
      </c>
      <c r="E5" s="3" t="s">
        <v>27</v>
      </c>
      <c r="F5" s="3" t="n">
        <v>5</v>
      </c>
      <c r="G5" s="3" t="s">
        <v>61</v>
      </c>
      <c r="H5" s="3" t="s">
        <v>62</v>
      </c>
      <c r="I5" s="3" t="s">
        <v>63</v>
      </c>
      <c r="J5" s="3" t="s">
        <v>64</v>
      </c>
      <c r="K5" s="3" t="s">
        <v>32</v>
      </c>
      <c r="L5" s="3" t="s">
        <v>33</v>
      </c>
      <c r="M5" s="3" t="s">
        <v>47</v>
      </c>
      <c r="N5" s="3"/>
      <c r="O5" s="3" t="s">
        <v>65</v>
      </c>
      <c r="P5" s="4" t="s">
        <v>66</v>
      </c>
      <c r="Q5" s="4" t="s">
        <v>67</v>
      </c>
      <c r="R5" s="3"/>
      <c r="S5" s="4" t="s">
        <v>68</v>
      </c>
      <c r="T5" s="3" t="s">
        <v>39</v>
      </c>
      <c r="U5" s="3" t="s">
        <v>69</v>
      </c>
      <c r="V5" s="6" t="s">
        <v>70</v>
      </c>
      <c r="W5" s="7" t="s">
        <v>71</v>
      </c>
    </row>
    <row r="6" customFormat="false" ht="54.75" hidden="false" customHeight="true" outlineLevel="0" collapsed="false">
      <c r="A6" s="3" t="s">
        <v>72</v>
      </c>
      <c r="B6" s="3" t="s">
        <v>24</v>
      </c>
      <c r="C6" s="3" t="s">
        <v>25</v>
      </c>
      <c r="D6" s="3" t="s">
        <v>26</v>
      </c>
      <c r="E6" s="3" t="s">
        <v>27</v>
      </c>
      <c r="F6" s="3" t="n">
        <v>6</v>
      </c>
      <c r="G6" s="3" t="s">
        <v>61</v>
      </c>
      <c r="H6" s="3" t="s">
        <v>73</v>
      </c>
      <c r="I6" s="3" t="s">
        <v>74</v>
      </c>
      <c r="J6" s="3" t="s">
        <v>75</v>
      </c>
      <c r="K6" s="3" t="s">
        <v>76</v>
      </c>
      <c r="L6" s="3" t="s">
        <v>77</v>
      </c>
      <c r="M6" s="3" t="s">
        <v>78</v>
      </c>
      <c r="N6" s="3"/>
      <c r="O6" s="3" t="s">
        <v>79</v>
      </c>
      <c r="P6" s="5" t="s">
        <v>80</v>
      </c>
      <c r="Q6" s="5" t="s">
        <v>67</v>
      </c>
      <c r="R6" s="5" t="s">
        <v>81</v>
      </c>
      <c r="S6" s="5" t="s">
        <v>82</v>
      </c>
      <c r="T6" s="3" t="s">
        <v>39</v>
      </c>
      <c r="U6" s="3" t="s">
        <v>69</v>
      </c>
      <c r="V6" s="6" t="s">
        <v>83</v>
      </c>
      <c r="W6" s="7" t="s">
        <v>84</v>
      </c>
    </row>
    <row r="7" customFormat="false" ht="41.25" hidden="false" customHeight="true" outlineLevel="0" collapsed="false">
      <c r="A7" s="3" t="s">
        <v>85</v>
      </c>
      <c r="B7" s="3" t="s">
        <v>24</v>
      </c>
      <c r="C7" s="3" t="s">
        <v>25</v>
      </c>
      <c r="D7" s="3" t="s">
        <v>26</v>
      </c>
      <c r="E7" s="3" t="s">
        <v>27</v>
      </c>
      <c r="F7" s="3" t="n">
        <v>7</v>
      </c>
      <c r="G7" s="3" t="s">
        <v>61</v>
      </c>
      <c r="H7" s="3" t="s">
        <v>86</v>
      </c>
      <c r="I7" s="3" t="s">
        <v>87</v>
      </c>
      <c r="J7" s="3" t="s">
        <v>88</v>
      </c>
      <c r="K7" s="3" t="s">
        <v>32</v>
      </c>
      <c r="L7" s="3" t="s">
        <v>89</v>
      </c>
      <c r="M7" s="3" t="s">
        <v>34</v>
      </c>
      <c r="N7" s="3"/>
      <c r="O7" s="3" t="s">
        <v>90</v>
      </c>
      <c r="P7" s="3" t="s">
        <v>91</v>
      </c>
      <c r="Q7" s="4" t="s">
        <v>67</v>
      </c>
      <c r="R7" s="4" t="s">
        <v>92</v>
      </c>
      <c r="S7" s="4" t="s">
        <v>93</v>
      </c>
      <c r="T7" s="3" t="s">
        <v>39</v>
      </c>
      <c r="U7" s="4" t="s">
        <v>94</v>
      </c>
      <c r="V7" s="6" t="s">
        <v>95</v>
      </c>
      <c r="W7" s="7" t="s">
        <v>96</v>
      </c>
    </row>
    <row r="8" customFormat="false" ht="27.75" hidden="false" customHeight="true" outlineLevel="0" collapsed="false">
      <c r="A8" s="3" t="s">
        <v>97</v>
      </c>
      <c r="B8" s="3" t="s">
        <v>24</v>
      </c>
      <c r="C8" s="3" t="s">
        <v>25</v>
      </c>
      <c r="D8" s="3" t="s">
        <v>26</v>
      </c>
      <c r="E8" s="3" t="s">
        <v>27</v>
      </c>
      <c r="F8" s="3" t="n">
        <v>8</v>
      </c>
      <c r="G8" s="3" t="s">
        <v>61</v>
      </c>
      <c r="H8" s="3" t="s">
        <v>98</v>
      </c>
      <c r="I8" s="3" t="s">
        <v>87</v>
      </c>
      <c r="J8" s="3" t="s">
        <v>88</v>
      </c>
      <c r="K8" s="3" t="s">
        <v>32</v>
      </c>
      <c r="L8" s="3" t="s">
        <v>89</v>
      </c>
      <c r="M8" s="3" t="s">
        <v>34</v>
      </c>
      <c r="N8" s="3"/>
      <c r="O8" s="3" t="s">
        <v>90</v>
      </c>
      <c r="P8" s="3" t="s">
        <v>91</v>
      </c>
      <c r="Q8" s="4" t="s">
        <v>67</v>
      </c>
      <c r="R8" s="4" t="s">
        <v>92</v>
      </c>
      <c r="S8" s="4" t="s">
        <v>93</v>
      </c>
      <c r="T8" s="3" t="s">
        <v>39</v>
      </c>
      <c r="U8" s="4" t="s">
        <v>94</v>
      </c>
      <c r="V8" s="6" t="s">
        <v>95</v>
      </c>
      <c r="W8" s="7" t="s">
        <v>99</v>
      </c>
    </row>
    <row r="9" customFormat="false" ht="41.25" hidden="false" customHeight="true" outlineLevel="0" collapsed="false">
      <c r="A9" s="3" t="s">
        <v>100</v>
      </c>
      <c r="B9" s="3" t="s">
        <v>24</v>
      </c>
      <c r="C9" s="3" t="s">
        <v>25</v>
      </c>
      <c r="D9" s="3" t="s">
        <v>26</v>
      </c>
      <c r="E9" s="3" t="s">
        <v>27</v>
      </c>
      <c r="F9" s="3" t="n">
        <v>9</v>
      </c>
      <c r="G9" s="3" t="s">
        <v>61</v>
      </c>
      <c r="H9" s="3" t="s">
        <v>101</v>
      </c>
      <c r="I9" s="3" t="s">
        <v>102</v>
      </c>
      <c r="J9" s="3" t="s">
        <v>103</v>
      </c>
      <c r="K9" s="3" t="s">
        <v>32</v>
      </c>
      <c r="L9" s="3" t="s">
        <v>104</v>
      </c>
      <c r="M9" s="3" t="s">
        <v>34</v>
      </c>
      <c r="N9" s="3"/>
      <c r="O9" s="3" t="s">
        <v>105</v>
      </c>
      <c r="P9" s="5" t="s">
        <v>106</v>
      </c>
      <c r="Q9" s="5" t="s">
        <v>67</v>
      </c>
      <c r="R9" s="3"/>
      <c r="S9" s="3"/>
      <c r="T9" s="3" t="s">
        <v>39</v>
      </c>
      <c r="U9" s="5" t="s">
        <v>107</v>
      </c>
      <c r="V9" s="6" t="s">
        <v>108</v>
      </c>
      <c r="W9" s="7" t="s">
        <v>109</v>
      </c>
    </row>
    <row r="10" customFormat="false" ht="41.25" hidden="false" customHeight="true" outlineLevel="0" collapsed="false">
      <c r="A10" s="3" t="s">
        <v>110</v>
      </c>
      <c r="B10" s="3" t="s">
        <v>24</v>
      </c>
      <c r="C10" s="3" t="s">
        <v>25</v>
      </c>
      <c r="D10" s="3" t="s">
        <v>26</v>
      </c>
      <c r="E10" s="3" t="s">
        <v>27</v>
      </c>
      <c r="F10" s="3" t="n">
        <v>10</v>
      </c>
      <c r="G10" s="3" t="s">
        <v>61</v>
      </c>
      <c r="H10" s="3" t="s">
        <v>111</v>
      </c>
      <c r="I10" s="3" t="s">
        <v>102</v>
      </c>
      <c r="J10" s="3" t="s">
        <v>112</v>
      </c>
      <c r="K10" s="3" t="s">
        <v>113</v>
      </c>
      <c r="L10" s="3" t="s">
        <v>114</v>
      </c>
      <c r="M10" s="3" t="s">
        <v>34</v>
      </c>
      <c r="N10" s="3"/>
      <c r="O10" s="3" t="s">
        <v>115</v>
      </c>
      <c r="P10" s="5" t="s">
        <v>106</v>
      </c>
      <c r="Q10" s="5" t="s">
        <v>67</v>
      </c>
      <c r="R10" s="3"/>
      <c r="S10" s="3"/>
      <c r="T10" s="3" t="s">
        <v>39</v>
      </c>
      <c r="U10" s="5" t="s">
        <v>116</v>
      </c>
      <c r="V10" s="6" t="s">
        <v>117</v>
      </c>
      <c r="W10" s="7" t="s">
        <v>118</v>
      </c>
    </row>
    <row r="11" customFormat="false" ht="27.75" hidden="false" customHeight="true" outlineLevel="0" collapsed="false">
      <c r="A11" s="3" t="s">
        <v>119</v>
      </c>
      <c r="B11" s="3" t="s">
        <v>24</v>
      </c>
      <c r="C11" s="3" t="s">
        <v>25</v>
      </c>
      <c r="D11" s="3" t="s">
        <v>26</v>
      </c>
      <c r="E11" s="3" t="s">
        <v>27</v>
      </c>
      <c r="F11" s="3" t="n">
        <v>11</v>
      </c>
      <c r="G11" s="3" t="s">
        <v>61</v>
      </c>
      <c r="H11" s="3" t="s">
        <v>120</v>
      </c>
      <c r="I11" s="3" t="s">
        <v>87</v>
      </c>
      <c r="J11" s="3" t="s">
        <v>112</v>
      </c>
      <c r="K11" s="3" t="s">
        <v>113</v>
      </c>
      <c r="L11" s="3" t="s">
        <v>114</v>
      </c>
      <c r="M11" s="3" t="s">
        <v>34</v>
      </c>
      <c r="N11" s="3"/>
      <c r="O11" s="3" t="s">
        <v>115</v>
      </c>
      <c r="P11" s="5" t="s">
        <v>106</v>
      </c>
      <c r="Q11" s="5" t="s">
        <v>67</v>
      </c>
      <c r="R11" s="3"/>
      <c r="S11" s="3"/>
      <c r="T11" s="3" t="s">
        <v>39</v>
      </c>
      <c r="U11" s="5" t="s">
        <v>121</v>
      </c>
      <c r="V11" s="6" t="s">
        <v>122</v>
      </c>
      <c r="W11" s="7" t="s">
        <v>123</v>
      </c>
    </row>
    <row r="12" customFormat="false" ht="68.25" hidden="false" customHeight="true" outlineLevel="0" collapsed="false">
      <c r="A12" s="3" t="s">
        <v>124</v>
      </c>
      <c r="B12" s="3" t="s">
        <v>24</v>
      </c>
      <c r="C12" s="3" t="s">
        <v>25</v>
      </c>
      <c r="D12" s="3" t="s">
        <v>26</v>
      </c>
      <c r="E12" s="3" t="s">
        <v>27</v>
      </c>
      <c r="F12" s="3" t="n">
        <v>12</v>
      </c>
      <c r="G12" s="3" t="s">
        <v>61</v>
      </c>
      <c r="H12" s="3" t="s">
        <v>125</v>
      </c>
      <c r="I12" s="3" t="s">
        <v>63</v>
      </c>
      <c r="J12" s="3" t="s">
        <v>126</v>
      </c>
      <c r="K12" s="3" t="s">
        <v>113</v>
      </c>
      <c r="L12" s="3" t="s">
        <v>127</v>
      </c>
      <c r="M12" s="3" t="s">
        <v>34</v>
      </c>
      <c r="N12" s="3" t="s">
        <v>128</v>
      </c>
      <c r="O12" s="3" t="s">
        <v>129</v>
      </c>
      <c r="P12" s="5" t="s">
        <v>36</v>
      </c>
      <c r="Q12" s="5" t="s">
        <v>67</v>
      </c>
      <c r="R12" s="5" t="s">
        <v>130</v>
      </c>
      <c r="S12" s="5" t="s">
        <v>131</v>
      </c>
      <c r="T12" s="4" t="s">
        <v>39</v>
      </c>
      <c r="U12" s="5" t="s">
        <v>132</v>
      </c>
      <c r="V12" s="6" t="s">
        <v>133</v>
      </c>
      <c r="W12" s="7" t="s">
        <v>134</v>
      </c>
    </row>
    <row r="13" customFormat="false" ht="27.75" hidden="false" customHeight="true" outlineLevel="0" collapsed="false">
      <c r="A13" s="3" t="s">
        <v>135</v>
      </c>
      <c r="B13" s="3" t="s">
        <v>24</v>
      </c>
      <c r="C13" s="3" t="s">
        <v>25</v>
      </c>
      <c r="D13" s="3" t="s">
        <v>26</v>
      </c>
      <c r="E13" s="3" t="s">
        <v>27</v>
      </c>
      <c r="F13" s="3" t="n">
        <v>13</v>
      </c>
      <c r="G13" s="3" t="s">
        <v>61</v>
      </c>
      <c r="H13" s="3" t="s">
        <v>136</v>
      </c>
      <c r="I13" s="3" t="s">
        <v>137</v>
      </c>
      <c r="J13" s="3" t="s">
        <v>138</v>
      </c>
      <c r="K13" s="3" t="s">
        <v>76</v>
      </c>
      <c r="L13" s="3" t="s">
        <v>33</v>
      </c>
      <c r="M13" s="3" t="s">
        <v>34</v>
      </c>
      <c r="N13" s="3"/>
      <c r="O13" s="3" t="s">
        <v>139</v>
      </c>
      <c r="P13" s="4" t="s">
        <v>66</v>
      </c>
      <c r="Q13" s="4" t="s">
        <v>67</v>
      </c>
      <c r="R13" s="3"/>
      <c r="S13" s="4" t="s">
        <v>140</v>
      </c>
      <c r="T13" s="4" t="s">
        <v>39</v>
      </c>
      <c r="U13" s="4" t="s">
        <v>141</v>
      </c>
      <c r="V13" s="6" t="s">
        <v>142</v>
      </c>
      <c r="W13" s="7" t="s">
        <v>143</v>
      </c>
    </row>
    <row r="14" customFormat="false" ht="27.75" hidden="false" customHeight="true" outlineLevel="0" collapsed="false">
      <c r="A14" s="3" t="s">
        <v>144</v>
      </c>
      <c r="B14" s="3" t="s">
        <v>24</v>
      </c>
      <c r="C14" s="3" t="s">
        <v>25</v>
      </c>
      <c r="D14" s="3" t="s">
        <v>26</v>
      </c>
      <c r="E14" s="3" t="s">
        <v>27</v>
      </c>
      <c r="F14" s="3" t="n">
        <v>14</v>
      </c>
      <c r="G14" s="3" t="s">
        <v>61</v>
      </c>
      <c r="H14" s="3" t="s">
        <v>145</v>
      </c>
      <c r="I14" s="3" t="s">
        <v>146</v>
      </c>
      <c r="J14" s="3" t="s">
        <v>147</v>
      </c>
      <c r="K14" s="3" t="s">
        <v>76</v>
      </c>
      <c r="L14" s="3" t="s">
        <v>33</v>
      </c>
      <c r="M14" s="3" t="s">
        <v>34</v>
      </c>
      <c r="N14" s="3"/>
      <c r="O14" s="3" t="s">
        <v>139</v>
      </c>
      <c r="P14" s="4" t="s">
        <v>66</v>
      </c>
      <c r="Q14" s="4" t="s">
        <v>67</v>
      </c>
      <c r="R14" s="3"/>
      <c r="S14" s="4" t="s">
        <v>148</v>
      </c>
      <c r="T14" s="4" t="s">
        <v>39</v>
      </c>
      <c r="U14" s="4" t="s">
        <v>141</v>
      </c>
      <c r="V14" s="6" t="s">
        <v>149</v>
      </c>
      <c r="W14" s="7" t="s">
        <v>150</v>
      </c>
    </row>
    <row r="15" customFormat="false" ht="68.25" hidden="false" customHeight="true" outlineLevel="0" collapsed="false">
      <c r="A15" s="3" t="s">
        <v>151</v>
      </c>
      <c r="B15" s="3" t="s">
        <v>24</v>
      </c>
      <c r="C15" s="3" t="s">
        <v>25</v>
      </c>
      <c r="D15" s="3" t="s">
        <v>26</v>
      </c>
      <c r="E15" s="3" t="s">
        <v>27</v>
      </c>
      <c r="F15" s="3" t="n">
        <v>15</v>
      </c>
      <c r="G15" s="3" t="s">
        <v>61</v>
      </c>
      <c r="H15" s="3" t="s">
        <v>152</v>
      </c>
      <c r="I15" s="3" t="s">
        <v>153</v>
      </c>
      <c r="J15" s="3" t="s">
        <v>154</v>
      </c>
      <c r="K15" s="3" t="s">
        <v>76</v>
      </c>
      <c r="L15" s="3" t="s">
        <v>155</v>
      </c>
      <c r="M15" s="3" t="s">
        <v>156</v>
      </c>
      <c r="N15" s="3"/>
      <c r="O15" s="3" t="s">
        <v>157</v>
      </c>
      <c r="P15" s="5" t="s">
        <v>91</v>
      </c>
      <c r="Q15" s="5" t="s">
        <v>67</v>
      </c>
      <c r="R15" s="5" t="s">
        <v>158</v>
      </c>
      <c r="S15" s="5" t="s">
        <v>159</v>
      </c>
      <c r="T15" s="4" t="s">
        <v>39</v>
      </c>
      <c r="U15" s="5" t="s">
        <v>160</v>
      </c>
      <c r="V15" s="6" t="s">
        <v>161</v>
      </c>
      <c r="W15" s="7" t="s">
        <v>162</v>
      </c>
    </row>
    <row r="16" customFormat="false" ht="27.75" hidden="false" customHeight="true" outlineLevel="0" collapsed="false">
      <c r="A16" s="3" t="s">
        <v>163</v>
      </c>
      <c r="B16" s="3" t="s">
        <v>24</v>
      </c>
      <c r="C16" s="3" t="s">
        <v>25</v>
      </c>
      <c r="D16" s="3" t="s">
        <v>26</v>
      </c>
      <c r="E16" s="3" t="s">
        <v>27</v>
      </c>
      <c r="F16" s="3" t="n">
        <v>16</v>
      </c>
      <c r="G16" s="3" t="s">
        <v>61</v>
      </c>
      <c r="H16" s="3" t="s">
        <v>164</v>
      </c>
      <c r="I16" s="3" t="s">
        <v>146</v>
      </c>
      <c r="J16" s="3" t="s">
        <v>154</v>
      </c>
      <c r="K16" s="3" t="s">
        <v>32</v>
      </c>
      <c r="L16" s="3" t="s">
        <v>165</v>
      </c>
      <c r="M16" s="3" t="s">
        <v>34</v>
      </c>
      <c r="N16" s="3"/>
      <c r="O16" s="3" t="s">
        <v>166</v>
      </c>
      <c r="P16" s="5" t="s">
        <v>91</v>
      </c>
      <c r="Q16" s="5" t="s">
        <v>67</v>
      </c>
      <c r="R16" s="5" t="s">
        <v>158</v>
      </c>
      <c r="S16" s="5" t="s">
        <v>167</v>
      </c>
      <c r="T16" s="4" t="s">
        <v>39</v>
      </c>
      <c r="U16" s="5" t="s">
        <v>160</v>
      </c>
      <c r="V16" s="6" t="s">
        <v>168</v>
      </c>
      <c r="W16" s="7" t="s">
        <v>169</v>
      </c>
    </row>
    <row r="17" customFormat="false" ht="41.25" hidden="false" customHeight="true" outlineLevel="0" collapsed="false">
      <c r="A17" s="3" t="s">
        <v>170</v>
      </c>
      <c r="B17" s="3" t="s">
        <v>24</v>
      </c>
      <c r="C17" s="3" t="s">
        <v>25</v>
      </c>
      <c r="D17" s="3" t="s">
        <v>26</v>
      </c>
      <c r="E17" s="3" t="s">
        <v>27</v>
      </c>
      <c r="F17" s="3" t="n">
        <v>17</v>
      </c>
      <c r="G17" s="3" t="s">
        <v>61</v>
      </c>
      <c r="H17" s="3" t="s">
        <v>171</v>
      </c>
      <c r="I17" s="3" t="s">
        <v>172</v>
      </c>
      <c r="J17" s="3" t="s">
        <v>173</v>
      </c>
      <c r="K17" s="3" t="s">
        <v>32</v>
      </c>
      <c r="L17" s="3" t="s">
        <v>33</v>
      </c>
      <c r="M17" s="3" t="s">
        <v>47</v>
      </c>
      <c r="N17" s="3"/>
      <c r="O17" s="3" t="s">
        <v>174</v>
      </c>
      <c r="P17" s="4" t="s">
        <v>66</v>
      </c>
      <c r="Q17" s="4" t="s">
        <v>67</v>
      </c>
      <c r="R17" s="3"/>
      <c r="S17" s="4" t="s">
        <v>175</v>
      </c>
      <c r="T17" s="3" t="s">
        <v>176</v>
      </c>
      <c r="U17" s="5" t="s">
        <v>177</v>
      </c>
      <c r="V17" s="6" t="s">
        <v>178</v>
      </c>
      <c r="W17" s="7" t="s">
        <v>179</v>
      </c>
    </row>
    <row r="18" customFormat="false" ht="27.75" hidden="false" customHeight="true" outlineLevel="0" collapsed="false">
      <c r="A18" s="3" t="s">
        <v>180</v>
      </c>
      <c r="B18" s="3" t="s">
        <v>24</v>
      </c>
      <c r="C18" s="3" t="s">
        <v>25</v>
      </c>
      <c r="D18" s="3" t="s">
        <v>26</v>
      </c>
      <c r="E18" s="3" t="s">
        <v>27</v>
      </c>
      <c r="F18" s="3" t="n">
        <v>18</v>
      </c>
      <c r="G18" s="3" t="s">
        <v>61</v>
      </c>
      <c r="H18" s="3" t="s">
        <v>181</v>
      </c>
      <c r="I18" s="3" t="s">
        <v>182</v>
      </c>
      <c r="J18" s="3" t="s">
        <v>183</v>
      </c>
      <c r="K18" s="3" t="s">
        <v>76</v>
      </c>
      <c r="L18" s="3" t="s">
        <v>184</v>
      </c>
      <c r="M18" s="3" t="s">
        <v>47</v>
      </c>
      <c r="N18" s="3"/>
      <c r="O18" s="3" t="s">
        <v>185</v>
      </c>
      <c r="P18" s="5" t="s">
        <v>80</v>
      </c>
      <c r="Q18" s="3" t="s">
        <v>186</v>
      </c>
      <c r="R18" s="5" t="s">
        <v>187</v>
      </c>
      <c r="S18" s="5" t="s">
        <v>188</v>
      </c>
      <c r="T18" s="3" t="s">
        <v>39</v>
      </c>
      <c r="U18" s="3" t="s">
        <v>69</v>
      </c>
      <c r="V18" s="6" t="s">
        <v>189</v>
      </c>
      <c r="W18" s="7" t="s">
        <v>190</v>
      </c>
    </row>
    <row r="19" customFormat="false" ht="27.75" hidden="false" customHeight="true" outlineLevel="0" collapsed="false">
      <c r="A19" s="3" t="s">
        <v>191</v>
      </c>
      <c r="B19" s="3" t="s">
        <v>24</v>
      </c>
      <c r="C19" s="3" t="s">
        <v>25</v>
      </c>
      <c r="D19" s="3" t="s">
        <v>26</v>
      </c>
      <c r="E19" s="3" t="s">
        <v>27</v>
      </c>
      <c r="F19" s="3" t="n">
        <v>19</v>
      </c>
      <c r="G19" s="3" t="s">
        <v>61</v>
      </c>
      <c r="H19" s="3" t="s">
        <v>192</v>
      </c>
      <c r="I19" s="3" t="s">
        <v>74</v>
      </c>
      <c r="J19" s="3" t="s">
        <v>193</v>
      </c>
      <c r="K19" s="3" t="s">
        <v>76</v>
      </c>
      <c r="L19" s="3" t="s">
        <v>184</v>
      </c>
      <c r="M19" s="3" t="s">
        <v>47</v>
      </c>
      <c r="N19" s="3"/>
      <c r="O19" s="3" t="s">
        <v>194</v>
      </c>
      <c r="P19" s="5" t="s">
        <v>80</v>
      </c>
      <c r="Q19" s="3" t="s">
        <v>186</v>
      </c>
      <c r="R19" s="5" t="s">
        <v>187</v>
      </c>
      <c r="S19" s="5" t="s">
        <v>195</v>
      </c>
      <c r="T19" s="3" t="s">
        <v>39</v>
      </c>
      <c r="U19" s="3" t="s">
        <v>69</v>
      </c>
      <c r="V19" s="6" t="s">
        <v>196</v>
      </c>
      <c r="W19" s="7" t="s">
        <v>197</v>
      </c>
    </row>
    <row r="20" customFormat="false" ht="27.75" hidden="false" customHeight="true" outlineLevel="0" collapsed="false">
      <c r="A20" s="3" t="s">
        <v>198</v>
      </c>
      <c r="B20" s="3" t="s">
        <v>24</v>
      </c>
      <c r="C20" s="3" t="s">
        <v>25</v>
      </c>
      <c r="D20" s="3" t="s">
        <v>26</v>
      </c>
      <c r="E20" s="3" t="s">
        <v>27</v>
      </c>
      <c r="F20" s="3" t="n">
        <v>20</v>
      </c>
      <c r="G20" s="3" t="s">
        <v>61</v>
      </c>
      <c r="H20" s="3" t="s">
        <v>199</v>
      </c>
      <c r="I20" s="3" t="s">
        <v>200</v>
      </c>
      <c r="J20" s="3" t="s">
        <v>183</v>
      </c>
      <c r="K20" s="3" t="s">
        <v>76</v>
      </c>
      <c r="L20" s="3" t="s">
        <v>184</v>
      </c>
      <c r="M20" s="3" t="s">
        <v>47</v>
      </c>
      <c r="N20" s="3"/>
      <c r="O20" s="3" t="s">
        <v>185</v>
      </c>
      <c r="P20" s="5" t="s">
        <v>80</v>
      </c>
      <c r="Q20" s="3" t="s">
        <v>186</v>
      </c>
      <c r="R20" s="5" t="s">
        <v>187</v>
      </c>
      <c r="S20" s="5" t="s">
        <v>201</v>
      </c>
      <c r="T20" s="3" t="s">
        <v>39</v>
      </c>
      <c r="U20" s="3" t="s">
        <v>69</v>
      </c>
      <c r="V20" s="6" t="s">
        <v>202</v>
      </c>
      <c r="W20" s="7" t="s">
        <v>203</v>
      </c>
    </row>
    <row r="21" customFormat="false" ht="27.75" hidden="false" customHeight="true" outlineLevel="0" collapsed="false">
      <c r="A21" s="3" t="s">
        <v>204</v>
      </c>
      <c r="B21" s="3" t="s">
        <v>24</v>
      </c>
      <c r="C21" s="3" t="s">
        <v>25</v>
      </c>
      <c r="D21" s="3" t="s">
        <v>26</v>
      </c>
      <c r="E21" s="3" t="s">
        <v>27</v>
      </c>
      <c r="F21" s="3" t="n">
        <v>21</v>
      </c>
      <c r="G21" s="3" t="s">
        <v>61</v>
      </c>
      <c r="H21" s="3" t="s">
        <v>205</v>
      </c>
      <c r="I21" s="3" t="s">
        <v>45</v>
      </c>
      <c r="J21" s="3" t="s">
        <v>183</v>
      </c>
      <c r="K21" s="3" t="s">
        <v>76</v>
      </c>
      <c r="L21" s="3" t="s">
        <v>184</v>
      </c>
      <c r="M21" s="3" t="s">
        <v>47</v>
      </c>
      <c r="N21" s="3"/>
      <c r="O21" s="3" t="s">
        <v>206</v>
      </c>
      <c r="P21" s="5" t="s">
        <v>80</v>
      </c>
      <c r="Q21" s="3" t="s">
        <v>186</v>
      </c>
      <c r="R21" s="5" t="s">
        <v>187</v>
      </c>
      <c r="S21" s="5" t="s">
        <v>207</v>
      </c>
      <c r="T21" s="3" t="s">
        <v>39</v>
      </c>
      <c r="U21" s="3" t="s">
        <v>69</v>
      </c>
      <c r="V21" s="6" t="s">
        <v>208</v>
      </c>
      <c r="W21" s="7" t="s">
        <v>209</v>
      </c>
    </row>
    <row r="22" customFormat="false" ht="27.75" hidden="false" customHeight="true" outlineLevel="0" collapsed="false">
      <c r="A22" s="3" t="s">
        <v>210</v>
      </c>
      <c r="B22" s="3" t="s">
        <v>24</v>
      </c>
      <c r="C22" s="3" t="s">
        <v>25</v>
      </c>
      <c r="D22" s="3" t="s">
        <v>26</v>
      </c>
      <c r="E22" s="3" t="s">
        <v>27</v>
      </c>
      <c r="F22" s="3" t="n">
        <v>22</v>
      </c>
      <c r="G22" s="3" t="s">
        <v>28</v>
      </c>
      <c r="H22" s="3" t="s">
        <v>211</v>
      </c>
      <c r="I22" s="3" t="s">
        <v>212</v>
      </c>
      <c r="J22" s="3" t="s">
        <v>31</v>
      </c>
      <c r="K22" s="3" t="s">
        <v>32</v>
      </c>
      <c r="L22" s="3" t="s">
        <v>33</v>
      </c>
      <c r="M22" s="3" t="s">
        <v>47</v>
      </c>
      <c r="N22" s="3"/>
      <c r="O22" s="3" t="s">
        <v>213</v>
      </c>
      <c r="P22" s="3" t="s">
        <v>36</v>
      </c>
      <c r="Q22" s="3" t="s">
        <v>186</v>
      </c>
      <c r="R22" s="3"/>
      <c r="S22" s="4" t="s">
        <v>214</v>
      </c>
      <c r="T22" s="3" t="s">
        <v>39</v>
      </c>
      <c r="U22" s="3" t="s">
        <v>69</v>
      </c>
      <c r="V22" s="6" t="s">
        <v>215</v>
      </c>
      <c r="W22" s="7" t="s">
        <v>216</v>
      </c>
    </row>
    <row r="23" customFormat="false" ht="27.75" hidden="false" customHeight="true" outlineLevel="0" collapsed="false">
      <c r="A23" s="3" t="s">
        <v>217</v>
      </c>
      <c r="B23" s="3" t="s">
        <v>24</v>
      </c>
      <c r="C23" s="3" t="s">
        <v>25</v>
      </c>
      <c r="D23" s="3" t="s">
        <v>26</v>
      </c>
      <c r="E23" s="3" t="s">
        <v>27</v>
      </c>
      <c r="F23" s="3" t="n">
        <v>23</v>
      </c>
      <c r="G23" s="3" t="s">
        <v>61</v>
      </c>
      <c r="H23" s="3" t="s">
        <v>218</v>
      </c>
      <c r="I23" s="3" t="s">
        <v>212</v>
      </c>
      <c r="J23" s="3" t="s">
        <v>219</v>
      </c>
      <c r="K23" s="3" t="s">
        <v>32</v>
      </c>
      <c r="L23" s="3" t="s">
        <v>77</v>
      </c>
      <c r="M23" s="3" t="s">
        <v>47</v>
      </c>
      <c r="N23" s="3"/>
      <c r="O23" s="3" t="s">
        <v>220</v>
      </c>
      <c r="P23" s="3" t="s">
        <v>91</v>
      </c>
      <c r="Q23" s="4" t="s">
        <v>67</v>
      </c>
      <c r="R23" s="3" t="s">
        <v>221</v>
      </c>
      <c r="S23" s="4" t="s">
        <v>222</v>
      </c>
      <c r="T23" s="3" t="s">
        <v>39</v>
      </c>
      <c r="U23" s="3" t="s">
        <v>69</v>
      </c>
      <c r="V23" s="6" t="s">
        <v>223</v>
      </c>
      <c r="W23" s="7" t="s">
        <v>224</v>
      </c>
    </row>
    <row r="24" customFormat="false" ht="27.75" hidden="false" customHeight="true" outlineLevel="0" collapsed="false">
      <c r="A24" s="3" t="s">
        <v>225</v>
      </c>
      <c r="B24" s="3" t="s">
        <v>226</v>
      </c>
      <c r="C24" s="3" t="s">
        <v>227</v>
      </c>
      <c r="D24" s="3" t="s">
        <v>228</v>
      </c>
      <c r="E24" s="3" t="s">
        <v>229</v>
      </c>
      <c r="F24" s="3" t="n">
        <v>2</v>
      </c>
      <c r="G24" s="3" t="s">
        <v>28</v>
      </c>
      <c r="H24" s="3" t="s">
        <v>230</v>
      </c>
      <c r="I24" s="3" t="s">
        <v>231</v>
      </c>
      <c r="J24" s="3" t="s">
        <v>31</v>
      </c>
      <c r="K24" s="3" t="s">
        <v>32</v>
      </c>
      <c r="L24" s="3" t="s">
        <v>33</v>
      </c>
      <c r="M24" s="3" t="s">
        <v>34</v>
      </c>
      <c r="N24" s="3"/>
      <c r="O24" s="3" t="s">
        <v>35</v>
      </c>
      <c r="P24" s="3" t="s">
        <v>36</v>
      </c>
      <c r="Q24" s="5" t="s">
        <v>37</v>
      </c>
      <c r="R24" s="5" t="s">
        <v>232</v>
      </c>
      <c r="S24" s="4" t="s">
        <v>233</v>
      </c>
      <c r="T24" s="3" t="s">
        <v>39</v>
      </c>
      <c r="U24" s="5" t="s">
        <v>234</v>
      </c>
      <c r="V24" s="6" t="s">
        <v>235</v>
      </c>
      <c r="W24" s="7" t="s">
        <v>236</v>
      </c>
    </row>
    <row r="25" customFormat="false" ht="27.75" hidden="false" customHeight="true" outlineLevel="0" collapsed="false">
      <c r="A25" s="3" t="s">
        <v>237</v>
      </c>
      <c r="B25" s="3" t="s">
        <v>226</v>
      </c>
      <c r="C25" s="3" t="s">
        <v>227</v>
      </c>
      <c r="D25" s="3" t="s">
        <v>228</v>
      </c>
      <c r="E25" s="3" t="s">
        <v>229</v>
      </c>
      <c r="F25" s="3" t="n">
        <v>3</v>
      </c>
      <c r="G25" s="3" t="s">
        <v>28</v>
      </c>
      <c r="H25" s="3" t="s">
        <v>238</v>
      </c>
      <c r="I25" s="3" t="s">
        <v>45</v>
      </c>
      <c r="J25" s="3" t="s">
        <v>46</v>
      </c>
      <c r="K25" s="3" t="s">
        <v>32</v>
      </c>
      <c r="L25" s="3" t="s">
        <v>33</v>
      </c>
      <c r="M25" s="3" t="s">
        <v>239</v>
      </c>
      <c r="N25" s="3"/>
      <c r="O25" s="3" t="s">
        <v>48</v>
      </c>
      <c r="P25" s="3" t="s">
        <v>36</v>
      </c>
      <c r="Q25" s="5" t="s">
        <v>37</v>
      </c>
      <c r="R25" s="5" t="s">
        <v>240</v>
      </c>
      <c r="S25" s="5" t="s">
        <v>241</v>
      </c>
      <c r="T25" s="3" t="s">
        <v>39</v>
      </c>
      <c r="U25" s="5" t="s">
        <v>242</v>
      </c>
      <c r="V25" s="6" t="s">
        <v>243</v>
      </c>
      <c r="W25" s="7" t="s">
        <v>244</v>
      </c>
    </row>
    <row r="26" customFormat="false" ht="27.75" hidden="false" customHeight="true" outlineLevel="0" collapsed="false">
      <c r="A26" s="3" t="s">
        <v>245</v>
      </c>
      <c r="B26" s="3" t="s">
        <v>226</v>
      </c>
      <c r="C26" s="3" t="s">
        <v>227</v>
      </c>
      <c r="D26" s="3" t="s">
        <v>228</v>
      </c>
      <c r="E26" s="3" t="s">
        <v>229</v>
      </c>
      <c r="F26" s="3" t="n">
        <v>4</v>
      </c>
      <c r="G26" s="3" t="s">
        <v>61</v>
      </c>
      <c r="H26" s="3" t="s">
        <v>246</v>
      </c>
      <c r="I26" s="3" t="s">
        <v>247</v>
      </c>
      <c r="J26" s="3" t="s">
        <v>248</v>
      </c>
      <c r="K26" s="3" t="s">
        <v>32</v>
      </c>
      <c r="L26" s="3" t="s">
        <v>33</v>
      </c>
      <c r="M26" s="3" t="s">
        <v>239</v>
      </c>
      <c r="N26" s="3"/>
      <c r="O26" s="3" t="s">
        <v>249</v>
      </c>
      <c r="P26" s="5" t="s">
        <v>66</v>
      </c>
      <c r="Q26" s="5" t="s">
        <v>67</v>
      </c>
      <c r="R26" s="5" t="s">
        <v>250</v>
      </c>
      <c r="S26" s="5" t="s">
        <v>251</v>
      </c>
      <c r="T26" s="3" t="s">
        <v>39</v>
      </c>
      <c r="U26" s="5" t="s">
        <v>252</v>
      </c>
      <c r="V26" s="6" t="s">
        <v>253</v>
      </c>
      <c r="W26" s="7" t="s">
        <v>254</v>
      </c>
    </row>
    <row r="27" customFormat="false" ht="27.75" hidden="false" customHeight="true" outlineLevel="0" collapsed="false">
      <c r="A27" s="3" t="s">
        <v>255</v>
      </c>
      <c r="B27" s="3" t="s">
        <v>226</v>
      </c>
      <c r="C27" s="3" t="s">
        <v>227</v>
      </c>
      <c r="D27" s="3" t="s">
        <v>228</v>
      </c>
      <c r="E27" s="3" t="s">
        <v>229</v>
      </c>
      <c r="F27" s="3" t="n">
        <v>5</v>
      </c>
      <c r="G27" s="3" t="s">
        <v>61</v>
      </c>
      <c r="H27" s="3" t="s">
        <v>256</v>
      </c>
      <c r="I27" s="3" t="s">
        <v>74</v>
      </c>
      <c r="J27" s="3" t="s">
        <v>138</v>
      </c>
      <c r="K27" s="3" t="s">
        <v>32</v>
      </c>
      <c r="L27" s="3" t="s">
        <v>257</v>
      </c>
      <c r="M27" s="3" t="s">
        <v>34</v>
      </c>
      <c r="N27" s="3"/>
      <c r="O27" s="3" t="s">
        <v>258</v>
      </c>
      <c r="P27" s="5" t="s">
        <v>106</v>
      </c>
      <c r="Q27" s="5" t="s">
        <v>67</v>
      </c>
      <c r="R27" s="3"/>
      <c r="S27" s="3"/>
      <c r="T27" s="3" t="s">
        <v>39</v>
      </c>
      <c r="U27" s="5" t="s">
        <v>259</v>
      </c>
      <c r="V27" s="6" t="s">
        <v>260</v>
      </c>
      <c r="W27" s="7" t="s">
        <v>261</v>
      </c>
    </row>
    <row r="28" customFormat="false" ht="27.75" hidden="false" customHeight="true" outlineLevel="0" collapsed="false">
      <c r="A28" s="3" t="s">
        <v>262</v>
      </c>
      <c r="B28" s="3" t="s">
        <v>226</v>
      </c>
      <c r="C28" s="3" t="s">
        <v>227</v>
      </c>
      <c r="D28" s="3" t="s">
        <v>228</v>
      </c>
      <c r="E28" s="3" t="s">
        <v>229</v>
      </c>
      <c r="F28" s="3" t="n">
        <v>6</v>
      </c>
      <c r="G28" s="3" t="s">
        <v>61</v>
      </c>
      <c r="H28" s="3" t="s">
        <v>263</v>
      </c>
      <c r="I28" s="3" t="s">
        <v>74</v>
      </c>
      <c r="J28" s="3" t="s">
        <v>264</v>
      </c>
      <c r="K28" s="3" t="s">
        <v>76</v>
      </c>
      <c r="L28" s="3" t="s">
        <v>184</v>
      </c>
      <c r="M28" s="3" t="s">
        <v>239</v>
      </c>
      <c r="N28" s="3" t="s">
        <v>265</v>
      </c>
      <c r="O28" s="3" t="s">
        <v>266</v>
      </c>
      <c r="P28" s="5" t="s">
        <v>80</v>
      </c>
      <c r="Q28" s="5" t="s">
        <v>67</v>
      </c>
      <c r="R28" s="5" t="s">
        <v>267</v>
      </c>
      <c r="S28" s="5" t="s">
        <v>268</v>
      </c>
      <c r="T28" s="3" t="s">
        <v>39</v>
      </c>
      <c r="U28" s="5" t="s">
        <v>269</v>
      </c>
      <c r="V28" s="6" t="s">
        <v>270</v>
      </c>
      <c r="W28" s="7" t="s">
        <v>271</v>
      </c>
    </row>
    <row r="29" customFormat="false" ht="27.75" hidden="false" customHeight="true" outlineLevel="0" collapsed="false">
      <c r="A29" s="3" t="s">
        <v>272</v>
      </c>
      <c r="B29" s="3" t="s">
        <v>226</v>
      </c>
      <c r="C29" s="3" t="s">
        <v>227</v>
      </c>
      <c r="D29" s="3" t="s">
        <v>228</v>
      </c>
      <c r="E29" s="3" t="s">
        <v>229</v>
      </c>
      <c r="F29" s="3" t="n">
        <v>7</v>
      </c>
      <c r="G29" s="3" t="s">
        <v>61</v>
      </c>
      <c r="H29" s="3" t="s">
        <v>273</v>
      </c>
      <c r="I29" s="3" t="s">
        <v>74</v>
      </c>
      <c r="J29" s="3" t="s">
        <v>264</v>
      </c>
      <c r="K29" s="3" t="s">
        <v>113</v>
      </c>
      <c r="L29" s="3" t="s">
        <v>274</v>
      </c>
      <c r="M29" s="3" t="s">
        <v>34</v>
      </c>
      <c r="N29" s="3"/>
      <c r="O29" s="3" t="s">
        <v>275</v>
      </c>
      <c r="P29" s="5" t="s">
        <v>106</v>
      </c>
      <c r="Q29" s="5" t="s">
        <v>67</v>
      </c>
      <c r="R29" s="3"/>
      <c r="S29" s="3"/>
      <c r="T29" s="3" t="s">
        <v>39</v>
      </c>
      <c r="U29" s="5" t="s">
        <v>276</v>
      </c>
      <c r="V29" s="6" t="s">
        <v>277</v>
      </c>
      <c r="W29" s="7" t="s">
        <v>278</v>
      </c>
    </row>
    <row r="30" customFormat="false" ht="27.75" hidden="false" customHeight="true" outlineLevel="0" collapsed="false">
      <c r="A30" s="3" t="s">
        <v>279</v>
      </c>
      <c r="B30" s="3" t="s">
        <v>226</v>
      </c>
      <c r="C30" s="3" t="s">
        <v>227</v>
      </c>
      <c r="D30" s="3" t="s">
        <v>228</v>
      </c>
      <c r="E30" s="3" t="s">
        <v>229</v>
      </c>
      <c r="F30" s="3" t="n">
        <v>8</v>
      </c>
      <c r="G30" s="3" t="s">
        <v>61</v>
      </c>
      <c r="H30" s="3" t="s">
        <v>280</v>
      </c>
      <c r="I30" s="3" t="s">
        <v>45</v>
      </c>
      <c r="J30" s="3" t="s">
        <v>264</v>
      </c>
      <c r="K30" s="3" t="s">
        <v>113</v>
      </c>
      <c r="L30" s="3" t="s">
        <v>274</v>
      </c>
      <c r="M30" s="3" t="s">
        <v>34</v>
      </c>
      <c r="N30" s="3"/>
      <c r="O30" s="3" t="s">
        <v>281</v>
      </c>
      <c r="P30" s="5" t="s">
        <v>106</v>
      </c>
      <c r="Q30" s="3" t="s">
        <v>186</v>
      </c>
      <c r="R30" s="3"/>
      <c r="S30" s="3"/>
      <c r="T30" s="5" t="s">
        <v>39</v>
      </c>
      <c r="U30" s="5" t="s">
        <v>282</v>
      </c>
      <c r="V30" s="6" t="s">
        <v>283</v>
      </c>
      <c r="W30" s="7" t="s">
        <v>284</v>
      </c>
    </row>
    <row r="31" customFormat="false" ht="27.75" hidden="false" customHeight="true" outlineLevel="0" collapsed="false">
      <c r="A31" s="3" t="s">
        <v>285</v>
      </c>
      <c r="B31" s="3" t="s">
        <v>226</v>
      </c>
      <c r="C31" s="3" t="s">
        <v>227</v>
      </c>
      <c r="D31" s="3" t="s">
        <v>228</v>
      </c>
      <c r="E31" s="3" t="s">
        <v>229</v>
      </c>
      <c r="F31" s="3" t="n">
        <v>9</v>
      </c>
      <c r="G31" s="3" t="s">
        <v>61</v>
      </c>
      <c r="H31" s="3" t="s">
        <v>286</v>
      </c>
      <c r="I31" s="3" t="s">
        <v>45</v>
      </c>
      <c r="J31" s="3" t="s">
        <v>248</v>
      </c>
      <c r="K31" s="3" t="s">
        <v>32</v>
      </c>
      <c r="L31" s="3" t="s">
        <v>33</v>
      </c>
      <c r="M31" s="3" t="s">
        <v>239</v>
      </c>
      <c r="N31" s="3"/>
      <c r="O31" s="3" t="s">
        <v>48</v>
      </c>
      <c r="P31" s="5" t="s">
        <v>66</v>
      </c>
      <c r="Q31" s="5" t="s">
        <v>67</v>
      </c>
      <c r="R31" s="5" t="s">
        <v>287</v>
      </c>
      <c r="S31" s="5" t="s">
        <v>288</v>
      </c>
      <c r="T31" s="5" t="s">
        <v>39</v>
      </c>
      <c r="U31" s="5" t="s">
        <v>289</v>
      </c>
      <c r="V31" s="6" t="s">
        <v>290</v>
      </c>
      <c r="W31" s="7" t="s">
        <v>291</v>
      </c>
    </row>
    <row r="32" customFormat="false" ht="27.75" hidden="false" customHeight="true" outlineLevel="0" collapsed="false">
      <c r="A32" s="3" t="s">
        <v>292</v>
      </c>
      <c r="B32" s="3" t="s">
        <v>226</v>
      </c>
      <c r="C32" s="3" t="s">
        <v>227</v>
      </c>
      <c r="D32" s="3" t="s">
        <v>228</v>
      </c>
      <c r="E32" s="3" t="s">
        <v>229</v>
      </c>
      <c r="F32" s="3" t="n">
        <v>10</v>
      </c>
      <c r="G32" s="3" t="s">
        <v>61</v>
      </c>
      <c r="H32" s="3" t="s">
        <v>293</v>
      </c>
      <c r="I32" s="3" t="s">
        <v>45</v>
      </c>
      <c r="J32" s="3" t="s">
        <v>248</v>
      </c>
      <c r="K32" s="3" t="s">
        <v>32</v>
      </c>
      <c r="L32" s="3" t="s">
        <v>33</v>
      </c>
      <c r="M32" s="3" t="s">
        <v>239</v>
      </c>
      <c r="N32" s="3"/>
      <c r="O32" s="3" t="s">
        <v>48</v>
      </c>
      <c r="P32" s="5" t="s">
        <v>66</v>
      </c>
      <c r="Q32" s="5" t="s">
        <v>67</v>
      </c>
      <c r="R32" s="5" t="s">
        <v>294</v>
      </c>
      <c r="S32" s="5" t="s">
        <v>295</v>
      </c>
      <c r="T32" s="5" t="s">
        <v>39</v>
      </c>
      <c r="U32" s="5" t="s">
        <v>296</v>
      </c>
      <c r="V32" s="6" t="s">
        <v>290</v>
      </c>
      <c r="W32" s="7" t="s">
        <v>297</v>
      </c>
    </row>
    <row r="33" customFormat="false" ht="27.75" hidden="false" customHeight="true" outlineLevel="0" collapsed="false">
      <c r="A33" s="3" t="s">
        <v>298</v>
      </c>
      <c r="B33" s="3" t="s">
        <v>226</v>
      </c>
      <c r="C33" s="3" t="s">
        <v>227</v>
      </c>
      <c r="D33" s="3" t="s">
        <v>228</v>
      </c>
      <c r="E33" s="3" t="s">
        <v>229</v>
      </c>
      <c r="F33" s="3" t="n">
        <v>11</v>
      </c>
      <c r="G33" s="3" t="s">
        <v>61</v>
      </c>
      <c r="H33" s="3" t="s">
        <v>299</v>
      </c>
      <c r="I33" s="3" t="s">
        <v>212</v>
      </c>
      <c r="J33" s="3" t="s">
        <v>300</v>
      </c>
      <c r="K33" s="3" t="s">
        <v>32</v>
      </c>
      <c r="L33" s="3" t="s">
        <v>301</v>
      </c>
      <c r="M33" s="3" t="s">
        <v>239</v>
      </c>
      <c r="N33" s="3"/>
      <c r="O33" s="3" t="s">
        <v>302</v>
      </c>
      <c r="P33" s="5" t="s">
        <v>91</v>
      </c>
      <c r="Q33" s="5" t="s">
        <v>67</v>
      </c>
      <c r="R33" s="5" t="s">
        <v>303</v>
      </c>
      <c r="S33" s="5" t="s">
        <v>304</v>
      </c>
      <c r="T33" s="5" t="s">
        <v>39</v>
      </c>
      <c r="U33" s="5" t="s">
        <v>305</v>
      </c>
      <c r="V33" s="6" t="s">
        <v>306</v>
      </c>
      <c r="W33" s="7" t="s">
        <v>307</v>
      </c>
    </row>
    <row r="34" customFormat="false" ht="27.75" hidden="false" customHeight="true" outlineLevel="0" collapsed="false">
      <c r="A34" s="3" t="s">
        <v>308</v>
      </c>
      <c r="B34" s="3" t="s">
        <v>226</v>
      </c>
      <c r="C34" s="3" t="s">
        <v>227</v>
      </c>
      <c r="D34" s="3" t="s">
        <v>228</v>
      </c>
      <c r="E34" s="3" t="s">
        <v>229</v>
      </c>
      <c r="F34" s="3" t="n">
        <v>12</v>
      </c>
      <c r="G34" s="3" t="s">
        <v>61</v>
      </c>
      <c r="H34" s="3" t="s">
        <v>309</v>
      </c>
      <c r="I34" s="3" t="s">
        <v>310</v>
      </c>
      <c r="J34" s="3" t="s">
        <v>300</v>
      </c>
      <c r="K34" s="3" t="s">
        <v>113</v>
      </c>
      <c r="L34" s="3" t="s">
        <v>114</v>
      </c>
      <c r="M34" s="3" t="s">
        <v>239</v>
      </c>
      <c r="N34" s="3"/>
      <c r="O34" s="3" t="s">
        <v>311</v>
      </c>
      <c r="P34" s="5" t="s">
        <v>91</v>
      </c>
      <c r="Q34" s="5" t="s">
        <v>67</v>
      </c>
      <c r="R34" s="5" t="s">
        <v>312</v>
      </c>
      <c r="S34" s="5" t="s">
        <v>313</v>
      </c>
      <c r="T34" s="5" t="s">
        <v>39</v>
      </c>
      <c r="U34" s="5" t="s">
        <v>314</v>
      </c>
      <c r="V34" s="6" t="s">
        <v>315</v>
      </c>
      <c r="W34" s="7" t="s">
        <v>316</v>
      </c>
    </row>
    <row r="35" customFormat="false" ht="15" hidden="false" customHeight="true" outlineLevel="0" collapsed="false">
      <c r="A35" s="3" t="s">
        <v>317</v>
      </c>
      <c r="B35" s="3" t="s">
        <v>226</v>
      </c>
      <c r="C35" s="3" t="s">
        <v>227</v>
      </c>
      <c r="D35" s="3" t="s">
        <v>228</v>
      </c>
      <c r="E35" s="3" t="s">
        <v>229</v>
      </c>
      <c r="F35" s="3" t="n">
        <v>13</v>
      </c>
      <c r="G35" s="3" t="s">
        <v>28</v>
      </c>
      <c r="H35" s="3" t="s">
        <v>318</v>
      </c>
      <c r="I35" s="3" t="s">
        <v>212</v>
      </c>
      <c r="J35" s="3" t="s">
        <v>31</v>
      </c>
      <c r="K35" s="3" t="s">
        <v>32</v>
      </c>
      <c r="L35" s="3" t="s">
        <v>33</v>
      </c>
      <c r="M35" s="3" t="s">
        <v>239</v>
      </c>
      <c r="N35" s="3"/>
      <c r="O35" s="3" t="s">
        <v>213</v>
      </c>
      <c r="P35" s="3" t="s">
        <v>36</v>
      </c>
      <c r="Q35" s="3" t="s">
        <v>186</v>
      </c>
      <c r="R35" s="5" t="s">
        <v>319</v>
      </c>
      <c r="S35" s="4" t="s">
        <v>320</v>
      </c>
      <c r="T35" s="5" t="s">
        <v>39</v>
      </c>
      <c r="U35" s="5" t="s">
        <v>321</v>
      </c>
      <c r="V35" s="6" t="s">
        <v>322</v>
      </c>
      <c r="W35" s="7" t="s">
        <v>323</v>
      </c>
    </row>
    <row r="36" customFormat="false" ht="15" hidden="false" customHeight="true" outlineLevel="0" collapsed="false">
      <c r="A36" s="3" t="s">
        <v>324</v>
      </c>
      <c r="B36" s="3" t="s">
        <v>226</v>
      </c>
      <c r="C36" s="3" t="s">
        <v>227</v>
      </c>
      <c r="D36" s="3" t="s">
        <v>228</v>
      </c>
      <c r="E36" s="3" t="s">
        <v>229</v>
      </c>
      <c r="F36" s="3" t="n">
        <v>14</v>
      </c>
      <c r="G36" s="3" t="s">
        <v>28</v>
      </c>
      <c r="H36" s="3" t="s">
        <v>325</v>
      </c>
      <c r="I36" s="3" t="s">
        <v>63</v>
      </c>
      <c r="J36" s="3" t="s">
        <v>31</v>
      </c>
      <c r="K36" s="3" t="s">
        <v>32</v>
      </c>
      <c r="L36" s="3" t="s">
        <v>33</v>
      </c>
      <c r="M36" s="3" t="s">
        <v>239</v>
      </c>
      <c r="N36" s="3"/>
      <c r="O36" s="3" t="s">
        <v>326</v>
      </c>
      <c r="P36" s="3" t="s">
        <v>36</v>
      </c>
      <c r="Q36" s="3" t="s">
        <v>186</v>
      </c>
      <c r="R36" s="5" t="s">
        <v>327</v>
      </c>
      <c r="S36" s="4" t="s">
        <v>328</v>
      </c>
      <c r="T36" s="5" t="s">
        <v>39</v>
      </c>
      <c r="U36" s="5" t="s">
        <v>329</v>
      </c>
      <c r="V36" s="6" t="s">
        <v>330</v>
      </c>
      <c r="W36" s="7" t="s">
        <v>331</v>
      </c>
    </row>
    <row r="37" customFormat="false" ht="27.75" hidden="false" customHeight="true" outlineLevel="0" collapsed="false">
      <c r="A37" s="3" t="s">
        <v>332</v>
      </c>
      <c r="B37" s="3" t="s">
        <v>226</v>
      </c>
      <c r="C37" s="3" t="s">
        <v>227</v>
      </c>
      <c r="D37" s="3" t="s">
        <v>228</v>
      </c>
      <c r="E37" s="3" t="s">
        <v>229</v>
      </c>
      <c r="F37" s="3" t="n">
        <v>15</v>
      </c>
      <c r="G37" s="3" t="s">
        <v>61</v>
      </c>
      <c r="H37" s="3" t="s">
        <v>333</v>
      </c>
      <c r="I37" s="3" t="s">
        <v>137</v>
      </c>
      <c r="J37" s="3" t="s">
        <v>334</v>
      </c>
      <c r="K37" s="3" t="s">
        <v>32</v>
      </c>
      <c r="L37" s="3" t="s">
        <v>33</v>
      </c>
      <c r="M37" s="3" t="s">
        <v>239</v>
      </c>
      <c r="N37" s="3"/>
      <c r="O37" s="3" t="s">
        <v>174</v>
      </c>
      <c r="P37" s="5" t="s">
        <v>66</v>
      </c>
      <c r="Q37" s="5" t="s">
        <v>67</v>
      </c>
      <c r="R37" s="5" t="s">
        <v>335</v>
      </c>
      <c r="S37" s="5" t="s">
        <v>336</v>
      </c>
      <c r="T37" s="5" t="s">
        <v>39</v>
      </c>
      <c r="U37" s="5" t="s">
        <v>337</v>
      </c>
      <c r="V37" s="6" t="s">
        <v>338</v>
      </c>
      <c r="W37" s="7" t="s">
        <v>339</v>
      </c>
    </row>
    <row r="38" customFormat="false" ht="27.75" hidden="false" customHeight="true" outlineLevel="0" collapsed="false">
      <c r="A38" s="3" t="s">
        <v>340</v>
      </c>
      <c r="B38" s="3" t="s">
        <v>226</v>
      </c>
      <c r="C38" s="3" t="s">
        <v>227</v>
      </c>
      <c r="D38" s="3" t="s">
        <v>228</v>
      </c>
      <c r="E38" s="3" t="s">
        <v>229</v>
      </c>
      <c r="F38" s="3" t="n">
        <v>16</v>
      </c>
      <c r="G38" s="3" t="s">
        <v>61</v>
      </c>
      <c r="H38" s="3" t="s">
        <v>341</v>
      </c>
      <c r="I38" s="3" t="s">
        <v>342</v>
      </c>
      <c r="J38" s="3" t="s">
        <v>334</v>
      </c>
      <c r="K38" s="3" t="s">
        <v>76</v>
      </c>
      <c r="L38" s="3" t="s">
        <v>184</v>
      </c>
      <c r="M38" s="3" t="s">
        <v>239</v>
      </c>
      <c r="N38" s="3"/>
      <c r="O38" s="3" t="s">
        <v>343</v>
      </c>
      <c r="P38" s="5" t="s">
        <v>80</v>
      </c>
      <c r="Q38" s="5" t="s">
        <v>67</v>
      </c>
      <c r="R38" s="5" t="s">
        <v>344</v>
      </c>
      <c r="S38" s="5" t="s">
        <v>268</v>
      </c>
      <c r="T38" s="5" t="s">
        <v>39</v>
      </c>
      <c r="U38" s="5" t="s">
        <v>345</v>
      </c>
      <c r="V38" s="6" t="s">
        <v>346</v>
      </c>
      <c r="W38" s="7" t="s">
        <v>347</v>
      </c>
    </row>
    <row r="39" customFormat="false" ht="27.75" hidden="false" customHeight="true" outlineLevel="0" collapsed="false">
      <c r="A39" s="3" t="s">
        <v>348</v>
      </c>
      <c r="B39" s="3" t="s">
        <v>226</v>
      </c>
      <c r="C39" s="3" t="s">
        <v>227</v>
      </c>
      <c r="D39" s="3" t="s">
        <v>228</v>
      </c>
      <c r="E39" s="3" t="s">
        <v>229</v>
      </c>
      <c r="F39" s="3" t="n">
        <v>17</v>
      </c>
      <c r="G39" s="3" t="s">
        <v>61</v>
      </c>
      <c r="H39" s="3" t="s">
        <v>349</v>
      </c>
      <c r="I39" s="3" t="s">
        <v>137</v>
      </c>
      <c r="J39" s="3" t="s">
        <v>154</v>
      </c>
      <c r="K39" s="3" t="s">
        <v>32</v>
      </c>
      <c r="L39" s="3" t="s">
        <v>165</v>
      </c>
      <c r="M39" s="3" t="s">
        <v>34</v>
      </c>
      <c r="N39" s="3"/>
      <c r="O39" s="3" t="s">
        <v>166</v>
      </c>
      <c r="P39" s="5" t="s">
        <v>66</v>
      </c>
      <c r="Q39" s="5" t="s">
        <v>67</v>
      </c>
      <c r="R39" s="5" t="s">
        <v>350</v>
      </c>
      <c r="S39" s="5" t="s">
        <v>351</v>
      </c>
      <c r="T39" s="3" t="s">
        <v>39</v>
      </c>
      <c r="U39" s="5" t="s">
        <v>352</v>
      </c>
      <c r="V39" s="6" t="s">
        <v>353</v>
      </c>
      <c r="W39" s="7" t="s">
        <v>354</v>
      </c>
    </row>
    <row r="40" customFormat="false" ht="27.75" hidden="false" customHeight="true" outlineLevel="0" collapsed="false">
      <c r="A40" s="3" t="s">
        <v>355</v>
      </c>
      <c r="B40" s="3" t="s">
        <v>226</v>
      </c>
      <c r="C40" s="3" t="s">
        <v>227</v>
      </c>
      <c r="D40" s="3" t="s">
        <v>228</v>
      </c>
      <c r="E40" s="3" t="s">
        <v>229</v>
      </c>
      <c r="F40" s="3" t="n">
        <v>18</v>
      </c>
      <c r="G40" s="3" t="s">
        <v>61</v>
      </c>
      <c r="H40" s="3" t="s">
        <v>356</v>
      </c>
      <c r="I40" s="3" t="s">
        <v>342</v>
      </c>
      <c r="J40" s="3" t="s">
        <v>154</v>
      </c>
      <c r="K40" s="3" t="s">
        <v>76</v>
      </c>
      <c r="L40" s="3" t="s">
        <v>184</v>
      </c>
      <c r="M40" s="3" t="s">
        <v>156</v>
      </c>
      <c r="N40" s="3"/>
      <c r="O40" s="3" t="s">
        <v>357</v>
      </c>
      <c r="P40" s="5" t="s">
        <v>66</v>
      </c>
      <c r="Q40" s="5" t="s">
        <v>67</v>
      </c>
      <c r="R40" s="5" t="s">
        <v>358</v>
      </c>
      <c r="S40" s="5" t="s">
        <v>359</v>
      </c>
      <c r="T40" s="5" t="s">
        <v>39</v>
      </c>
      <c r="U40" s="5" t="s">
        <v>360</v>
      </c>
      <c r="V40" s="6" t="s">
        <v>361</v>
      </c>
      <c r="W40" s="7" t="s">
        <v>362</v>
      </c>
    </row>
    <row r="41" customFormat="false" ht="27.75" hidden="false" customHeight="true" outlineLevel="0" collapsed="false">
      <c r="A41" s="3" t="s">
        <v>363</v>
      </c>
      <c r="B41" s="3" t="s">
        <v>226</v>
      </c>
      <c r="C41" s="3" t="s">
        <v>227</v>
      </c>
      <c r="D41" s="3" t="s">
        <v>228</v>
      </c>
      <c r="E41" s="3" t="s">
        <v>229</v>
      </c>
      <c r="F41" s="3" t="n">
        <v>19</v>
      </c>
      <c r="G41" s="3" t="s">
        <v>61</v>
      </c>
      <c r="H41" s="3" t="s">
        <v>364</v>
      </c>
      <c r="I41" s="3" t="s">
        <v>182</v>
      </c>
      <c r="J41" s="3" t="s">
        <v>183</v>
      </c>
      <c r="K41" s="3" t="s">
        <v>76</v>
      </c>
      <c r="L41" s="3" t="s">
        <v>184</v>
      </c>
      <c r="M41" s="3" t="s">
        <v>239</v>
      </c>
      <c r="N41" s="3"/>
      <c r="O41" s="3" t="s">
        <v>185</v>
      </c>
      <c r="P41" s="5" t="s">
        <v>80</v>
      </c>
      <c r="Q41" s="3" t="s">
        <v>186</v>
      </c>
      <c r="R41" s="5" t="s">
        <v>365</v>
      </c>
      <c r="S41" s="5" t="s">
        <v>268</v>
      </c>
      <c r="T41" s="3" t="s">
        <v>39</v>
      </c>
      <c r="U41" s="5" t="s">
        <v>321</v>
      </c>
      <c r="V41" s="6" t="s">
        <v>366</v>
      </c>
      <c r="W41" s="7" t="s">
        <v>367</v>
      </c>
    </row>
    <row r="42" customFormat="false" ht="27.75" hidden="false" customHeight="true" outlineLevel="0" collapsed="false">
      <c r="A42" s="3" t="s">
        <v>368</v>
      </c>
      <c r="B42" s="3" t="s">
        <v>226</v>
      </c>
      <c r="C42" s="3" t="s">
        <v>227</v>
      </c>
      <c r="D42" s="3" t="s">
        <v>228</v>
      </c>
      <c r="E42" s="3" t="s">
        <v>229</v>
      </c>
      <c r="F42" s="3" t="n">
        <v>20</v>
      </c>
      <c r="G42" s="3" t="s">
        <v>61</v>
      </c>
      <c r="H42" s="3" t="s">
        <v>369</v>
      </c>
      <c r="I42" s="3" t="s">
        <v>45</v>
      </c>
      <c r="J42" s="3" t="s">
        <v>183</v>
      </c>
      <c r="K42" s="3" t="s">
        <v>76</v>
      </c>
      <c r="L42" s="3" t="s">
        <v>184</v>
      </c>
      <c r="M42" s="3" t="s">
        <v>239</v>
      </c>
      <c r="N42" s="3"/>
      <c r="O42" s="3" t="s">
        <v>206</v>
      </c>
      <c r="P42" s="5" t="s">
        <v>80</v>
      </c>
      <c r="Q42" s="3" t="s">
        <v>186</v>
      </c>
      <c r="R42" s="5" t="s">
        <v>370</v>
      </c>
      <c r="S42" s="5" t="s">
        <v>268</v>
      </c>
      <c r="T42" s="5" t="s">
        <v>39</v>
      </c>
      <c r="U42" s="5" t="s">
        <v>371</v>
      </c>
      <c r="V42" s="6" t="s">
        <v>372</v>
      </c>
      <c r="W42" s="7" t="s">
        <v>373</v>
      </c>
    </row>
    <row r="43" customFormat="false" ht="27.75" hidden="false" customHeight="true" outlineLevel="0" collapsed="false">
      <c r="A43" s="3" t="s">
        <v>374</v>
      </c>
      <c r="B43" s="3" t="s">
        <v>226</v>
      </c>
      <c r="C43" s="3" t="s">
        <v>227</v>
      </c>
      <c r="D43" s="3" t="s">
        <v>228</v>
      </c>
      <c r="E43" s="3" t="s">
        <v>229</v>
      </c>
      <c r="F43" s="3" t="n">
        <v>21</v>
      </c>
      <c r="G43" s="3" t="s">
        <v>61</v>
      </c>
      <c r="H43" s="3" t="s">
        <v>375</v>
      </c>
      <c r="I43" s="3" t="s">
        <v>45</v>
      </c>
      <c r="J43" s="3" t="s">
        <v>376</v>
      </c>
      <c r="K43" s="3" t="s">
        <v>76</v>
      </c>
      <c r="L43" s="3" t="s">
        <v>184</v>
      </c>
      <c r="M43" s="3" t="s">
        <v>34</v>
      </c>
      <c r="N43" s="3"/>
      <c r="O43" s="3" t="s">
        <v>377</v>
      </c>
      <c r="P43" s="5" t="s">
        <v>106</v>
      </c>
      <c r="Q43" s="5" t="s">
        <v>37</v>
      </c>
      <c r="R43" s="3"/>
      <c r="S43" s="3"/>
      <c r="T43" s="5" t="s">
        <v>39</v>
      </c>
      <c r="U43" s="5" t="s">
        <v>378</v>
      </c>
      <c r="V43" s="6" t="s">
        <v>379</v>
      </c>
      <c r="W43" s="7" t="s">
        <v>380</v>
      </c>
    </row>
    <row r="44" customFormat="false" ht="27.75" hidden="false" customHeight="true" outlineLevel="0" collapsed="false">
      <c r="A44" s="3" t="s">
        <v>381</v>
      </c>
      <c r="B44" s="3" t="s">
        <v>226</v>
      </c>
      <c r="C44" s="3" t="s">
        <v>227</v>
      </c>
      <c r="D44" s="3" t="s">
        <v>228</v>
      </c>
      <c r="E44" s="3" t="s">
        <v>229</v>
      </c>
      <c r="F44" s="3" t="n">
        <v>22</v>
      </c>
      <c r="G44" s="3" t="s">
        <v>61</v>
      </c>
      <c r="H44" s="3" t="s">
        <v>382</v>
      </c>
      <c r="I44" s="3" t="s">
        <v>74</v>
      </c>
      <c r="J44" s="3" t="s">
        <v>383</v>
      </c>
      <c r="K44" s="3" t="s">
        <v>384</v>
      </c>
      <c r="L44" s="3" t="s">
        <v>114</v>
      </c>
      <c r="M44" s="3" t="s">
        <v>239</v>
      </c>
      <c r="N44" s="3"/>
      <c r="O44" s="3" t="s">
        <v>385</v>
      </c>
      <c r="P44" s="5" t="s">
        <v>106</v>
      </c>
      <c r="Q44" s="5" t="s">
        <v>67</v>
      </c>
      <c r="R44" s="3"/>
      <c r="S44" s="3"/>
      <c r="T44" s="3" t="s">
        <v>176</v>
      </c>
      <c r="U44" s="5" t="s">
        <v>329</v>
      </c>
      <c r="V44" s="6" t="s">
        <v>386</v>
      </c>
      <c r="W44" s="7" t="s">
        <v>387</v>
      </c>
    </row>
    <row r="45" customFormat="false" ht="27.75" hidden="false" customHeight="true" outlineLevel="0" collapsed="false">
      <c r="A45" s="3" t="s">
        <v>388</v>
      </c>
      <c r="B45" s="3" t="s">
        <v>389</v>
      </c>
      <c r="C45" s="3" t="s">
        <v>390</v>
      </c>
      <c r="D45" s="3" t="s">
        <v>391</v>
      </c>
      <c r="E45" s="3" t="s">
        <v>392</v>
      </c>
      <c r="F45" s="3" t="n">
        <v>2</v>
      </c>
      <c r="G45" s="3" t="s">
        <v>28</v>
      </c>
      <c r="H45" s="3" t="s">
        <v>393</v>
      </c>
      <c r="I45" s="3" t="s">
        <v>30</v>
      </c>
      <c r="J45" s="3" t="s">
        <v>31</v>
      </c>
      <c r="K45" s="3" t="s">
        <v>32</v>
      </c>
      <c r="L45" s="3" t="s">
        <v>33</v>
      </c>
      <c r="M45" s="3" t="s">
        <v>34</v>
      </c>
      <c r="N45" s="3"/>
      <c r="O45" s="3" t="s">
        <v>35</v>
      </c>
      <c r="P45" s="3" t="s">
        <v>36</v>
      </c>
      <c r="Q45" s="5" t="s">
        <v>37</v>
      </c>
      <c r="R45" s="3"/>
      <c r="S45" s="4" t="s">
        <v>394</v>
      </c>
      <c r="T45" s="3" t="s">
        <v>39</v>
      </c>
      <c r="U45" s="5" t="s">
        <v>395</v>
      </c>
      <c r="V45" s="6" t="s">
        <v>41</v>
      </c>
      <c r="W45" s="7" t="s">
        <v>396</v>
      </c>
    </row>
    <row r="46" customFormat="false" ht="27.75" hidden="false" customHeight="true" outlineLevel="0" collapsed="false">
      <c r="A46" s="3" t="s">
        <v>397</v>
      </c>
      <c r="B46" s="3" t="s">
        <v>389</v>
      </c>
      <c r="C46" s="3" t="s">
        <v>390</v>
      </c>
      <c r="D46" s="3" t="s">
        <v>391</v>
      </c>
      <c r="E46" s="3" t="s">
        <v>392</v>
      </c>
      <c r="F46" s="3" t="n">
        <v>3</v>
      </c>
      <c r="G46" s="3" t="s">
        <v>28</v>
      </c>
      <c r="H46" s="3" t="s">
        <v>398</v>
      </c>
      <c r="I46" s="3" t="s">
        <v>45</v>
      </c>
      <c r="J46" s="3" t="s">
        <v>46</v>
      </c>
      <c r="K46" s="3" t="s">
        <v>32</v>
      </c>
      <c r="L46" s="3" t="s">
        <v>33</v>
      </c>
      <c r="M46" s="3" t="s">
        <v>399</v>
      </c>
      <c r="N46" s="3"/>
      <c r="O46" s="3" t="s">
        <v>48</v>
      </c>
      <c r="P46" s="3" t="s">
        <v>36</v>
      </c>
      <c r="Q46" s="5" t="s">
        <v>37</v>
      </c>
      <c r="R46" s="5" t="s">
        <v>400</v>
      </c>
      <c r="S46" s="5" t="s">
        <v>401</v>
      </c>
      <c r="T46" s="3" t="s">
        <v>39</v>
      </c>
      <c r="U46" s="5" t="s">
        <v>402</v>
      </c>
      <c r="V46" s="6" t="s">
        <v>403</v>
      </c>
      <c r="W46" s="7" t="s">
        <v>404</v>
      </c>
    </row>
    <row r="47" customFormat="false" ht="27.75" hidden="false" customHeight="true" outlineLevel="0" collapsed="false">
      <c r="A47" s="3" t="s">
        <v>405</v>
      </c>
      <c r="B47" s="3" t="s">
        <v>389</v>
      </c>
      <c r="C47" s="3" t="s">
        <v>390</v>
      </c>
      <c r="D47" s="3" t="s">
        <v>391</v>
      </c>
      <c r="E47" s="3" t="s">
        <v>392</v>
      </c>
      <c r="F47" s="3" t="n">
        <v>4</v>
      </c>
      <c r="G47" s="3" t="s">
        <v>61</v>
      </c>
      <c r="H47" s="3" t="s">
        <v>406</v>
      </c>
      <c r="I47" s="3" t="s">
        <v>87</v>
      </c>
      <c r="J47" s="3" t="s">
        <v>407</v>
      </c>
      <c r="K47" s="3" t="s">
        <v>32</v>
      </c>
      <c r="L47" s="3" t="s">
        <v>408</v>
      </c>
      <c r="M47" s="3" t="s">
        <v>34</v>
      </c>
      <c r="N47" s="3"/>
      <c r="O47" s="3" t="s">
        <v>105</v>
      </c>
      <c r="P47" s="5" t="s">
        <v>91</v>
      </c>
      <c r="Q47" s="5" t="s">
        <v>67</v>
      </c>
      <c r="R47" s="5" t="s">
        <v>409</v>
      </c>
      <c r="S47" s="5" t="s">
        <v>410</v>
      </c>
      <c r="T47" s="5" t="s">
        <v>39</v>
      </c>
      <c r="U47" s="5" t="s">
        <v>411</v>
      </c>
      <c r="V47" s="6" t="s">
        <v>412</v>
      </c>
      <c r="W47" s="7" t="s">
        <v>413</v>
      </c>
    </row>
    <row r="48" customFormat="false" ht="27.75" hidden="false" customHeight="true" outlineLevel="0" collapsed="false">
      <c r="A48" s="3" t="s">
        <v>414</v>
      </c>
      <c r="B48" s="3" t="s">
        <v>389</v>
      </c>
      <c r="C48" s="3" t="s">
        <v>390</v>
      </c>
      <c r="D48" s="3" t="s">
        <v>391</v>
      </c>
      <c r="E48" s="3" t="s">
        <v>392</v>
      </c>
      <c r="F48" s="3" t="n">
        <v>5</v>
      </c>
      <c r="G48" s="3" t="s">
        <v>61</v>
      </c>
      <c r="H48" s="3" t="s">
        <v>415</v>
      </c>
      <c r="I48" s="3" t="s">
        <v>416</v>
      </c>
      <c r="J48" s="3" t="s">
        <v>417</v>
      </c>
      <c r="K48" s="3" t="s">
        <v>32</v>
      </c>
      <c r="L48" s="3" t="s">
        <v>33</v>
      </c>
      <c r="M48" s="3" t="s">
        <v>34</v>
      </c>
      <c r="N48" s="3"/>
      <c r="O48" s="3" t="s">
        <v>418</v>
      </c>
      <c r="P48" s="5" t="s">
        <v>66</v>
      </c>
      <c r="Q48" s="5" t="s">
        <v>67</v>
      </c>
      <c r="R48" s="5" t="s">
        <v>419</v>
      </c>
      <c r="S48" s="5" t="s">
        <v>420</v>
      </c>
      <c r="T48" s="3" t="s">
        <v>39</v>
      </c>
      <c r="U48" s="5" t="s">
        <v>421</v>
      </c>
      <c r="V48" s="6" t="s">
        <v>422</v>
      </c>
      <c r="W48" s="7" t="s">
        <v>423</v>
      </c>
    </row>
    <row r="49" customFormat="false" ht="27.75" hidden="false" customHeight="true" outlineLevel="0" collapsed="false">
      <c r="A49" s="3" t="s">
        <v>424</v>
      </c>
      <c r="B49" s="3" t="s">
        <v>389</v>
      </c>
      <c r="C49" s="3" t="s">
        <v>390</v>
      </c>
      <c r="D49" s="3" t="s">
        <v>391</v>
      </c>
      <c r="E49" s="3" t="s">
        <v>392</v>
      </c>
      <c r="F49" s="3" t="n">
        <v>6</v>
      </c>
      <c r="G49" s="3" t="s">
        <v>61</v>
      </c>
      <c r="H49" s="3" t="s">
        <v>425</v>
      </c>
      <c r="I49" s="3" t="s">
        <v>416</v>
      </c>
      <c r="J49" s="3" t="s">
        <v>417</v>
      </c>
      <c r="K49" s="3" t="s">
        <v>76</v>
      </c>
      <c r="L49" s="3" t="s">
        <v>77</v>
      </c>
      <c r="M49" s="3" t="s">
        <v>426</v>
      </c>
      <c r="N49" s="3"/>
      <c r="O49" s="3" t="s">
        <v>427</v>
      </c>
      <c r="P49" s="3" t="s">
        <v>91</v>
      </c>
      <c r="Q49" s="4" t="s">
        <v>67</v>
      </c>
      <c r="R49" s="5" t="s">
        <v>428</v>
      </c>
      <c r="S49" s="5" t="s">
        <v>429</v>
      </c>
      <c r="T49" s="3" t="s">
        <v>39</v>
      </c>
      <c r="U49" s="5" t="s">
        <v>430</v>
      </c>
      <c r="V49" s="6" t="s">
        <v>431</v>
      </c>
      <c r="W49" s="7" t="s">
        <v>432</v>
      </c>
    </row>
    <row r="50" customFormat="false" ht="27.75" hidden="false" customHeight="true" outlineLevel="0" collapsed="false">
      <c r="A50" s="3" t="s">
        <v>433</v>
      </c>
      <c r="B50" s="3" t="s">
        <v>389</v>
      </c>
      <c r="C50" s="3" t="s">
        <v>390</v>
      </c>
      <c r="D50" s="3" t="s">
        <v>391</v>
      </c>
      <c r="E50" s="3" t="s">
        <v>392</v>
      </c>
      <c r="F50" s="3" t="n">
        <v>7</v>
      </c>
      <c r="G50" s="3" t="s">
        <v>61</v>
      </c>
      <c r="H50" s="3" t="s">
        <v>434</v>
      </c>
      <c r="I50" s="3" t="s">
        <v>435</v>
      </c>
      <c r="J50" s="3" t="s">
        <v>417</v>
      </c>
      <c r="K50" s="3" t="s">
        <v>384</v>
      </c>
      <c r="L50" s="3" t="s">
        <v>114</v>
      </c>
      <c r="M50" s="3" t="s">
        <v>426</v>
      </c>
      <c r="N50" s="3"/>
      <c r="O50" s="3" t="s">
        <v>436</v>
      </c>
      <c r="P50" s="5" t="s">
        <v>66</v>
      </c>
      <c r="Q50" s="5" t="s">
        <v>67</v>
      </c>
      <c r="R50" s="5" t="s">
        <v>437</v>
      </c>
      <c r="S50" s="5" t="s">
        <v>438</v>
      </c>
      <c r="T50" s="3" t="s">
        <v>39</v>
      </c>
      <c r="U50" s="5" t="s">
        <v>439</v>
      </c>
      <c r="V50" s="6" t="s">
        <v>440</v>
      </c>
      <c r="W50" s="7" t="s">
        <v>441</v>
      </c>
    </row>
    <row r="51" customFormat="false" ht="27.75" hidden="false" customHeight="true" outlineLevel="0" collapsed="false">
      <c r="A51" s="3" t="s">
        <v>442</v>
      </c>
      <c r="B51" s="3" t="s">
        <v>389</v>
      </c>
      <c r="C51" s="3" t="s">
        <v>390</v>
      </c>
      <c r="D51" s="3" t="s">
        <v>391</v>
      </c>
      <c r="E51" s="3" t="s">
        <v>392</v>
      </c>
      <c r="F51" s="3" t="n">
        <v>8</v>
      </c>
      <c r="G51" s="3" t="s">
        <v>61</v>
      </c>
      <c r="H51" s="3" t="s">
        <v>443</v>
      </c>
      <c r="I51" s="3" t="s">
        <v>444</v>
      </c>
      <c r="J51" s="3" t="s">
        <v>183</v>
      </c>
      <c r="K51" s="3" t="s">
        <v>76</v>
      </c>
      <c r="L51" s="3" t="s">
        <v>184</v>
      </c>
      <c r="M51" s="3" t="s">
        <v>426</v>
      </c>
      <c r="N51" s="3"/>
      <c r="O51" s="3" t="s">
        <v>185</v>
      </c>
      <c r="P51" s="5" t="s">
        <v>66</v>
      </c>
      <c r="Q51" s="5" t="s">
        <v>67</v>
      </c>
      <c r="R51" s="5" t="s">
        <v>437</v>
      </c>
      <c r="S51" s="5" t="s">
        <v>445</v>
      </c>
      <c r="T51" s="3" t="s">
        <v>176</v>
      </c>
      <c r="U51" s="3"/>
      <c r="V51" s="6" t="s">
        <v>446</v>
      </c>
      <c r="W51" s="7" t="s">
        <v>447</v>
      </c>
    </row>
    <row r="52" customFormat="false" ht="27.75" hidden="false" customHeight="true" outlineLevel="0" collapsed="false">
      <c r="A52" s="3" t="s">
        <v>448</v>
      </c>
      <c r="B52" s="3" t="s">
        <v>389</v>
      </c>
      <c r="C52" s="3" t="s">
        <v>390</v>
      </c>
      <c r="D52" s="3" t="s">
        <v>391</v>
      </c>
      <c r="E52" s="3" t="s">
        <v>392</v>
      </c>
      <c r="F52" s="3" t="n">
        <v>9</v>
      </c>
      <c r="G52" s="3" t="s">
        <v>61</v>
      </c>
      <c r="H52" s="3" t="s">
        <v>449</v>
      </c>
      <c r="I52" s="3" t="s">
        <v>450</v>
      </c>
      <c r="J52" s="3" t="s">
        <v>451</v>
      </c>
      <c r="K52" s="3" t="s">
        <v>384</v>
      </c>
      <c r="L52" s="3" t="s">
        <v>114</v>
      </c>
      <c r="M52" s="3" t="s">
        <v>34</v>
      </c>
      <c r="N52" s="3" t="s">
        <v>452</v>
      </c>
      <c r="O52" s="3" t="s">
        <v>453</v>
      </c>
      <c r="P52" s="3" t="s">
        <v>91</v>
      </c>
      <c r="Q52" s="4" t="s">
        <v>67</v>
      </c>
      <c r="R52" s="5" t="s">
        <v>454</v>
      </c>
      <c r="S52" s="5" t="s">
        <v>455</v>
      </c>
      <c r="T52" s="3" t="s">
        <v>39</v>
      </c>
      <c r="U52" s="5" t="s">
        <v>456</v>
      </c>
      <c r="V52" s="6" t="s">
        <v>457</v>
      </c>
      <c r="W52" s="7" t="s">
        <v>458</v>
      </c>
    </row>
    <row r="53" customFormat="false" ht="27.75" hidden="false" customHeight="true" outlineLevel="0" collapsed="false">
      <c r="A53" s="3" t="s">
        <v>459</v>
      </c>
      <c r="B53" s="3" t="s">
        <v>389</v>
      </c>
      <c r="C53" s="3" t="s">
        <v>390</v>
      </c>
      <c r="D53" s="3" t="s">
        <v>391</v>
      </c>
      <c r="E53" s="3" t="s">
        <v>392</v>
      </c>
      <c r="F53" s="3" t="n">
        <v>10</v>
      </c>
      <c r="G53" s="3" t="s">
        <v>61</v>
      </c>
      <c r="H53" s="3" t="s">
        <v>460</v>
      </c>
      <c r="I53" s="3" t="s">
        <v>74</v>
      </c>
      <c r="J53" s="3" t="s">
        <v>461</v>
      </c>
      <c r="K53" s="3" t="s">
        <v>384</v>
      </c>
      <c r="L53" s="3" t="s">
        <v>114</v>
      </c>
      <c r="M53" s="3" t="s">
        <v>462</v>
      </c>
      <c r="N53" s="3"/>
      <c r="O53" s="3" t="s">
        <v>385</v>
      </c>
      <c r="P53" s="5" t="s">
        <v>91</v>
      </c>
      <c r="Q53" s="5" t="s">
        <v>67</v>
      </c>
      <c r="R53" s="5" t="s">
        <v>454</v>
      </c>
      <c r="S53" s="5" t="s">
        <v>463</v>
      </c>
      <c r="T53" s="3" t="s">
        <v>39</v>
      </c>
      <c r="U53" s="5" t="s">
        <v>464</v>
      </c>
      <c r="V53" s="6" t="s">
        <v>465</v>
      </c>
      <c r="W53" s="7" t="s">
        <v>466</v>
      </c>
    </row>
    <row r="54" customFormat="false" ht="27.75" hidden="false" customHeight="true" outlineLevel="0" collapsed="false">
      <c r="A54" s="3" t="s">
        <v>467</v>
      </c>
      <c r="B54" s="3" t="s">
        <v>389</v>
      </c>
      <c r="C54" s="3" t="s">
        <v>390</v>
      </c>
      <c r="D54" s="3" t="s">
        <v>391</v>
      </c>
      <c r="E54" s="3" t="s">
        <v>392</v>
      </c>
      <c r="F54" s="3" t="n">
        <v>11</v>
      </c>
      <c r="G54" s="3" t="s">
        <v>61</v>
      </c>
      <c r="H54" s="3" t="s">
        <v>468</v>
      </c>
      <c r="I54" s="3" t="s">
        <v>469</v>
      </c>
      <c r="J54" s="3" t="s">
        <v>461</v>
      </c>
      <c r="K54" s="3" t="s">
        <v>384</v>
      </c>
      <c r="L54" s="3" t="s">
        <v>114</v>
      </c>
      <c r="M54" s="3" t="s">
        <v>470</v>
      </c>
      <c r="N54" s="3"/>
      <c r="O54" s="3" t="s">
        <v>471</v>
      </c>
      <c r="P54" s="5" t="s">
        <v>91</v>
      </c>
      <c r="Q54" s="5" t="s">
        <v>67</v>
      </c>
      <c r="R54" s="5" t="s">
        <v>472</v>
      </c>
      <c r="S54" s="5" t="s">
        <v>473</v>
      </c>
      <c r="T54" s="3" t="s">
        <v>39</v>
      </c>
      <c r="U54" s="5" t="s">
        <v>439</v>
      </c>
      <c r="V54" s="6" t="s">
        <v>474</v>
      </c>
      <c r="W54" s="7" t="s">
        <v>475</v>
      </c>
    </row>
    <row r="55" customFormat="false" ht="27.75" hidden="false" customHeight="true" outlineLevel="0" collapsed="false">
      <c r="A55" s="3" t="s">
        <v>476</v>
      </c>
      <c r="B55" s="3" t="s">
        <v>389</v>
      </c>
      <c r="C55" s="3" t="s">
        <v>390</v>
      </c>
      <c r="D55" s="3" t="s">
        <v>391</v>
      </c>
      <c r="E55" s="3" t="s">
        <v>392</v>
      </c>
      <c r="F55" s="3" t="n">
        <v>12</v>
      </c>
      <c r="G55" s="3" t="s">
        <v>61</v>
      </c>
      <c r="H55" s="3" t="s">
        <v>477</v>
      </c>
      <c r="I55" s="3" t="s">
        <v>74</v>
      </c>
      <c r="J55" s="3" t="s">
        <v>461</v>
      </c>
      <c r="K55" s="3" t="s">
        <v>76</v>
      </c>
      <c r="L55" s="3" t="s">
        <v>184</v>
      </c>
      <c r="M55" s="3" t="s">
        <v>470</v>
      </c>
      <c r="N55" s="3"/>
      <c r="O55" s="3" t="s">
        <v>194</v>
      </c>
      <c r="P55" s="5" t="s">
        <v>91</v>
      </c>
      <c r="Q55" s="5" t="s">
        <v>67</v>
      </c>
      <c r="R55" s="5" t="s">
        <v>472</v>
      </c>
      <c r="S55" s="5" t="s">
        <v>478</v>
      </c>
      <c r="T55" s="5" t="s">
        <v>39</v>
      </c>
      <c r="U55" s="5" t="s">
        <v>439</v>
      </c>
      <c r="V55" s="6" t="s">
        <v>479</v>
      </c>
      <c r="W55" s="7" t="s">
        <v>480</v>
      </c>
    </row>
    <row r="56" customFormat="false" ht="27.75" hidden="false" customHeight="true" outlineLevel="0" collapsed="false">
      <c r="A56" s="3" t="s">
        <v>481</v>
      </c>
      <c r="B56" s="3" t="s">
        <v>389</v>
      </c>
      <c r="C56" s="3" t="s">
        <v>390</v>
      </c>
      <c r="D56" s="3" t="s">
        <v>391</v>
      </c>
      <c r="E56" s="3" t="s">
        <v>392</v>
      </c>
      <c r="F56" s="3" t="n">
        <v>13</v>
      </c>
      <c r="G56" s="3" t="s">
        <v>61</v>
      </c>
      <c r="H56" s="3" t="s">
        <v>482</v>
      </c>
      <c r="I56" s="3" t="s">
        <v>469</v>
      </c>
      <c r="J56" s="3" t="s">
        <v>75</v>
      </c>
      <c r="K56" s="3" t="s">
        <v>113</v>
      </c>
      <c r="L56" s="3" t="s">
        <v>114</v>
      </c>
      <c r="M56" s="3" t="s">
        <v>470</v>
      </c>
      <c r="N56" s="3"/>
      <c r="O56" s="3" t="s">
        <v>483</v>
      </c>
      <c r="P56" s="3" t="s">
        <v>91</v>
      </c>
      <c r="Q56" s="4" t="s">
        <v>67</v>
      </c>
      <c r="R56" s="5" t="s">
        <v>484</v>
      </c>
      <c r="S56" s="5" t="s">
        <v>485</v>
      </c>
      <c r="T56" s="5" t="s">
        <v>39</v>
      </c>
      <c r="U56" s="5" t="s">
        <v>486</v>
      </c>
      <c r="V56" s="6" t="s">
        <v>487</v>
      </c>
      <c r="W56" s="7" t="s">
        <v>488</v>
      </c>
    </row>
    <row r="57" customFormat="false" ht="27.75" hidden="false" customHeight="true" outlineLevel="0" collapsed="false">
      <c r="A57" s="3" t="s">
        <v>489</v>
      </c>
      <c r="B57" s="3" t="s">
        <v>389</v>
      </c>
      <c r="C57" s="3" t="s">
        <v>390</v>
      </c>
      <c r="D57" s="3" t="s">
        <v>391</v>
      </c>
      <c r="E57" s="3" t="s">
        <v>392</v>
      </c>
      <c r="F57" s="3" t="n">
        <v>14</v>
      </c>
      <c r="G57" s="3" t="s">
        <v>61</v>
      </c>
      <c r="H57" s="3" t="s">
        <v>490</v>
      </c>
      <c r="I57" s="3" t="s">
        <v>74</v>
      </c>
      <c r="J57" s="3" t="s">
        <v>75</v>
      </c>
      <c r="K57" s="3" t="s">
        <v>76</v>
      </c>
      <c r="L57" s="3" t="s">
        <v>274</v>
      </c>
      <c r="M57" s="3" t="s">
        <v>491</v>
      </c>
      <c r="N57" s="3"/>
      <c r="O57" s="3" t="s">
        <v>492</v>
      </c>
      <c r="P57" s="3" t="s">
        <v>91</v>
      </c>
      <c r="Q57" s="4" t="s">
        <v>67</v>
      </c>
      <c r="R57" s="5" t="s">
        <v>493</v>
      </c>
      <c r="S57" s="4" t="s">
        <v>494</v>
      </c>
      <c r="T57" s="3" t="s">
        <v>39</v>
      </c>
      <c r="U57" s="5" t="s">
        <v>486</v>
      </c>
      <c r="V57" s="6" t="s">
        <v>495</v>
      </c>
      <c r="W57" s="7" t="s">
        <v>496</v>
      </c>
    </row>
    <row r="58" customFormat="false" ht="27.75" hidden="false" customHeight="true" outlineLevel="0" collapsed="false">
      <c r="A58" s="3" t="s">
        <v>497</v>
      </c>
      <c r="B58" s="3" t="s">
        <v>389</v>
      </c>
      <c r="C58" s="3" t="s">
        <v>390</v>
      </c>
      <c r="D58" s="3" t="s">
        <v>391</v>
      </c>
      <c r="E58" s="3" t="s">
        <v>392</v>
      </c>
      <c r="F58" s="3" t="n">
        <v>15</v>
      </c>
      <c r="G58" s="3" t="s">
        <v>61</v>
      </c>
      <c r="H58" s="3" t="s">
        <v>498</v>
      </c>
      <c r="I58" s="3" t="s">
        <v>499</v>
      </c>
      <c r="J58" s="3" t="s">
        <v>500</v>
      </c>
      <c r="K58" s="3" t="s">
        <v>32</v>
      </c>
      <c r="L58" s="3" t="s">
        <v>77</v>
      </c>
      <c r="M58" s="3" t="s">
        <v>462</v>
      </c>
      <c r="N58" s="3"/>
      <c r="O58" s="3" t="s">
        <v>501</v>
      </c>
      <c r="P58" s="5" t="s">
        <v>91</v>
      </c>
      <c r="Q58" s="5" t="s">
        <v>67</v>
      </c>
      <c r="R58" s="5" t="s">
        <v>502</v>
      </c>
      <c r="S58" s="5" t="s">
        <v>503</v>
      </c>
      <c r="T58" s="5" t="s">
        <v>39</v>
      </c>
      <c r="U58" s="5" t="s">
        <v>439</v>
      </c>
      <c r="V58" s="6" t="s">
        <v>504</v>
      </c>
      <c r="W58" s="7" t="s">
        <v>505</v>
      </c>
    </row>
    <row r="59" customFormat="false" ht="27.75" hidden="false" customHeight="true" outlineLevel="0" collapsed="false">
      <c r="A59" s="3" t="s">
        <v>506</v>
      </c>
      <c r="B59" s="3" t="s">
        <v>389</v>
      </c>
      <c r="C59" s="3" t="s">
        <v>390</v>
      </c>
      <c r="D59" s="3" t="s">
        <v>391</v>
      </c>
      <c r="E59" s="3" t="s">
        <v>392</v>
      </c>
      <c r="F59" s="3" t="n">
        <v>16</v>
      </c>
      <c r="G59" s="3" t="s">
        <v>61</v>
      </c>
      <c r="H59" s="3" t="s">
        <v>507</v>
      </c>
      <c r="I59" s="3" t="s">
        <v>212</v>
      </c>
      <c r="J59" s="3" t="s">
        <v>500</v>
      </c>
      <c r="K59" s="3" t="s">
        <v>384</v>
      </c>
      <c r="L59" s="3" t="s">
        <v>114</v>
      </c>
      <c r="M59" s="3" t="s">
        <v>462</v>
      </c>
      <c r="N59" s="3"/>
      <c r="O59" s="3" t="s">
        <v>508</v>
      </c>
      <c r="P59" s="5" t="s">
        <v>91</v>
      </c>
      <c r="Q59" s="5" t="s">
        <v>67</v>
      </c>
      <c r="R59" s="5" t="s">
        <v>509</v>
      </c>
      <c r="S59" s="5" t="s">
        <v>510</v>
      </c>
      <c r="T59" s="5" t="s">
        <v>39</v>
      </c>
      <c r="U59" s="5" t="s">
        <v>439</v>
      </c>
      <c r="V59" s="6" t="s">
        <v>511</v>
      </c>
      <c r="W59" s="7" t="s">
        <v>512</v>
      </c>
    </row>
    <row r="60" customFormat="false" ht="27.75" hidden="false" customHeight="true" outlineLevel="0" collapsed="false">
      <c r="A60" s="3" t="s">
        <v>513</v>
      </c>
      <c r="B60" s="3" t="s">
        <v>389</v>
      </c>
      <c r="C60" s="3" t="s">
        <v>390</v>
      </c>
      <c r="D60" s="3" t="s">
        <v>391</v>
      </c>
      <c r="E60" s="3" t="s">
        <v>392</v>
      </c>
      <c r="F60" s="3" t="n">
        <v>17</v>
      </c>
      <c r="G60" s="3" t="s">
        <v>514</v>
      </c>
      <c r="H60" s="3" t="s">
        <v>515</v>
      </c>
      <c r="I60" s="3" t="s">
        <v>516</v>
      </c>
      <c r="J60" s="3" t="s">
        <v>517</v>
      </c>
      <c r="K60" s="3" t="s">
        <v>32</v>
      </c>
      <c r="L60" s="3" t="s">
        <v>77</v>
      </c>
      <c r="M60" s="3" t="s">
        <v>34</v>
      </c>
      <c r="N60" s="3"/>
      <c r="O60" s="3" t="s">
        <v>518</v>
      </c>
      <c r="P60" s="5" t="s">
        <v>106</v>
      </c>
      <c r="Q60" s="3" t="s">
        <v>186</v>
      </c>
      <c r="R60" s="3"/>
      <c r="S60" s="3"/>
      <c r="T60" s="3" t="s">
        <v>39</v>
      </c>
      <c r="U60" s="5" t="s">
        <v>519</v>
      </c>
      <c r="V60" s="6" t="s">
        <v>520</v>
      </c>
      <c r="W60" s="7" t="s">
        <v>521</v>
      </c>
    </row>
    <row r="61" customFormat="false" ht="27.75" hidden="false" customHeight="true" outlineLevel="0" collapsed="false">
      <c r="A61" s="3" t="s">
        <v>522</v>
      </c>
      <c r="B61" s="3" t="s">
        <v>389</v>
      </c>
      <c r="C61" s="3" t="s">
        <v>390</v>
      </c>
      <c r="D61" s="3" t="s">
        <v>391</v>
      </c>
      <c r="E61" s="3" t="s">
        <v>392</v>
      </c>
      <c r="F61" s="3" t="n">
        <v>18</v>
      </c>
      <c r="G61" s="3" t="s">
        <v>61</v>
      </c>
      <c r="H61" s="3" t="s">
        <v>523</v>
      </c>
      <c r="I61" s="3" t="s">
        <v>524</v>
      </c>
      <c r="J61" s="3" t="s">
        <v>75</v>
      </c>
      <c r="K61" s="3" t="s">
        <v>113</v>
      </c>
      <c r="L61" s="3" t="s">
        <v>114</v>
      </c>
      <c r="M61" s="3" t="s">
        <v>470</v>
      </c>
      <c r="N61" s="3"/>
      <c r="O61" s="3" t="s">
        <v>525</v>
      </c>
      <c r="P61" s="3" t="s">
        <v>91</v>
      </c>
      <c r="Q61" s="4" t="s">
        <v>67</v>
      </c>
      <c r="R61" s="5" t="s">
        <v>526</v>
      </c>
      <c r="S61" s="5" t="s">
        <v>527</v>
      </c>
      <c r="T61" s="5" t="s">
        <v>39</v>
      </c>
      <c r="U61" s="5" t="s">
        <v>439</v>
      </c>
      <c r="V61" s="6" t="s">
        <v>528</v>
      </c>
      <c r="W61" s="7" t="s">
        <v>529</v>
      </c>
    </row>
    <row r="62" customFormat="false" ht="27.75" hidden="false" customHeight="true" outlineLevel="0" collapsed="false">
      <c r="A62" s="3" t="s">
        <v>530</v>
      </c>
      <c r="B62" s="3" t="s">
        <v>389</v>
      </c>
      <c r="C62" s="3" t="s">
        <v>390</v>
      </c>
      <c r="D62" s="3" t="s">
        <v>391</v>
      </c>
      <c r="E62" s="3" t="s">
        <v>392</v>
      </c>
      <c r="F62" s="3" t="n">
        <v>19</v>
      </c>
      <c r="G62" s="3" t="s">
        <v>61</v>
      </c>
      <c r="H62" s="3" t="s">
        <v>531</v>
      </c>
      <c r="I62" s="3" t="s">
        <v>532</v>
      </c>
      <c r="J62" s="3" t="s">
        <v>533</v>
      </c>
      <c r="K62" s="3" t="s">
        <v>76</v>
      </c>
      <c r="L62" s="3" t="s">
        <v>33</v>
      </c>
      <c r="M62" s="3" t="s">
        <v>78</v>
      </c>
      <c r="N62" s="3"/>
      <c r="O62" s="3" t="s">
        <v>534</v>
      </c>
      <c r="P62" s="5" t="s">
        <v>66</v>
      </c>
      <c r="Q62" s="4" t="s">
        <v>67</v>
      </c>
      <c r="R62" s="5" t="s">
        <v>535</v>
      </c>
      <c r="S62" s="5" t="s">
        <v>536</v>
      </c>
      <c r="T62" s="3" t="s">
        <v>176</v>
      </c>
      <c r="U62" s="5" t="s">
        <v>537</v>
      </c>
      <c r="V62" s="6" t="s">
        <v>538</v>
      </c>
      <c r="W62" s="7" t="s">
        <v>539</v>
      </c>
    </row>
    <row r="63" customFormat="false" ht="27.75" hidden="false" customHeight="true" outlineLevel="0" collapsed="false">
      <c r="A63" s="3" t="s">
        <v>540</v>
      </c>
      <c r="B63" s="3" t="s">
        <v>389</v>
      </c>
      <c r="C63" s="3" t="s">
        <v>390</v>
      </c>
      <c r="D63" s="3" t="s">
        <v>391</v>
      </c>
      <c r="E63" s="3" t="s">
        <v>392</v>
      </c>
      <c r="F63" s="3" t="n">
        <v>20</v>
      </c>
      <c r="G63" s="3" t="s">
        <v>61</v>
      </c>
      <c r="H63" s="3" t="s">
        <v>541</v>
      </c>
      <c r="I63" s="3" t="s">
        <v>182</v>
      </c>
      <c r="J63" s="3" t="s">
        <v>183</v>
      </c>
      <c r="K63" s="3" t="s">
        <v>76</v>
      </c>
      <c r="L63" s="3" t="s">
        <v>184</v>
      </c>
      <c r="M63" s="3" t="s">
        <v>399</v>
      </c>
      <c r="N63" s="3"/>
      <c r="O63" s="3" t="s">
        <v>185</v>
      </c>
      <c r="P63" s="3" t="s">
        <v>186</v>
      </c>
      <c r="Q63" s="3" t="s">
        <v>186</v>
      </c>
      <c r="R63" s="3"/>
      <c r="S63" s="3"/>
      <c r="T63" s="3" t="s">
        <v>176</v>
      </c>
      <c r="U63" s="3"/>
      <c r="V63" s="6" t="s">
        <v>542</v>
      </c>
      <c r="W63" s="7" t="s">
        <v>543</v>
      </c>
    </row>
    <row r="64" customFormat="false" ht="27.75" hidden="false" customHeight="true" outlineLevel="0" collapsed="false">
      <c r="A64" s="3" t="s">
        <v>544</v>
      </c>
      <c r="B64" s="3" t="s">
        <v>545</v>
      </c>
      <c r="C64" s="3" t="s">
        <v>546</v>
      </c>
      <c r="D64" s="3" t="s">
        <v>547</v>
      </c>
      <c r="E64" s="3" t="s">
        <v>548</v>
      </c>
      <c r="F64" s="3" t="n">
        <v>2</v>
      </c>
      <c r="G64" s="3" t="s">
        <v>28</v>
      </c>
      <c r="H64" s="3" t="s">
        <v>549</v>
      </c>
      <c r="I64" s="3" t="s">
        <v>30</v>
      </c>
      <c r="J64" s="3" t="s">
        <v>31</v>
      </c>
      <c r="K64" s="3" t="s">
        <v>32</v>
      </c>
      <c r="L64" s="3" t="s">
        <v>33</v>
      </c>
      <c r="M64" s="3" t="s">
        <v>34</v>
      </c>
      <c r="N64" s="3"/>
      <c r="O64" s="3" t="s">
        <v>35</v>
      </c>
      <c r="P64" s="3" t="s">
        <v>36</v>
      </c>
      <c r="Q64" s="5" t="s">
        <v>37</v>
      </c>
      <c r="R64" s="5" t="s">
        <v>550</v>
      </c>
      <c r="S64" s="4" t="s">
        <v>551</v>
      </c>
      <c r="T64" s="3" t="s">
        <v>39</v>
      </c>
      <c r="U64" s="5" t="s">
        <v>552</v>
      </c>
      <c r="V64" s="6" t="s">
        <v>41</v>
      </c>
      <c r="W64" s="7" t="s">
        <v>553</v>
      </c>
    </row>
    <row r="65" customFormat="false" ht="27.75" hidden="false" customHeight="true" outlineLevel="0" collapsed="false">
      <c r="A65" s="3" t="s">
        <v>554</v>
      </c>
      <c r="B65" s="3" t="s">
        <v>545</v>
      </c>
      <c r="C65" s="3" t="s">
        <v>546</v>
      </c>
      <c r="D65" s="3" t="s">
        <v>547</v>
      </c>
      <c r="E65" s="3" t="s">
        <v>548</v>
      </c>
      <c r="F65" s="3" t="n">
        <v>3</v>
      </c>
      <c r="G65" s="3" t="s">
        <v>28</v>
      </c>
      <c r="H65" s="3" t="s">
        <v>555</v>
      </c>
      <c r="I65" s="3" t="s">
        <v>556</v>
      </c>
      <c r="J65" s="3" t="s">
        <v>31</v>
      </c>
      <c r="K65" s="3" t="s">
        <v>32</v>
      </c>
      <c r="L65" s="3" t="s">
        <v>33</v>
      </c>
      <c r="M65" s="3" t="s">
        <v>34</v>
      </c>
      <c r="N65" s="3"/>
      <c r="O65" s="3" t="s">
        <v>35</v>
      </c>
      <c r="P65" s="3" t="s">
        <v>36</v>
      </c>
      <c r="Q65" s="5" t="s">
        <v>37</v>
      </c>
      <c r="R65" s="5" t="s">
        <v>557</v>
      </c>
      <c r="S65" s="4" t="s">
        <v>558</v>
      </c>
      <c r="T65" s="5" t="s">
        <v>39</v>
      </c>
      <c r="U65" s="5" t="s">
        <v>559</v>
      </c>
      <c r="V65" s="6" t="s">
        <v>560</v>
      </c>
      <c r="W65" s="7" t="s">
        <v>561</v>
      </c>
    </row>
    <row r="66" customFormat="false" ht="27.75" hidden="false" customHeight="true" outlineLevel="0" collapsed="false">
      <c r="A66" s="3" t="s">
        <v>562</v>
      </c>
      <c r="B66" s="3" t="s">
        <v>545</v>
      </c>
      <c r="C66" s="3" t="s">
        <v>546</v>
      </c>
      <c r="D66" s="3" t="s">
        <v>547</v>
      </c>
      <c r="E66" s="3" t="s">
        <v>548</v>
      </c>
      <c r="F66" s="3" t="n">
        <v>4</v>
      </c>
      <c r="G66" s="3" t="s">
        <v>61</v>
      </c>
      <c r="H66" s="3" t="s">
        <v>563</v>
      </c>
      <c r="I66" s="3" t="s">
        <v>45</v>
      </c>
      <c r="J66" s="3" t="s">
        <v>46</v>
      </c>
      <c r="K66" s="3" t="s">
        <v>32</v>
      </c>
      <c r="L66" s="3" t="s">
        <v>33</v>
      </c>
      <c r="M66" s="3" t="s">
        <v>564</v>
      </c>
      <c r="N66" s="3"/>
      <c r="O66" s="3" t="s">
        <v>48</v>
      </c>
      <c r="P66" s="3" t="s">
        <v>91</v>
      </c>
      <c r="Q66" s="4" t="s">
        <v>67</v>
      </c>
      <c r="R66" s="3" t="s">
        <v>565</v>
      </c>
      <c r="S66" s="4" t="s">
        <v>566</v>
      </c>
      <c r="T66" s="3" t="s">
        <v>39</v>
      </c>
      <c r="U66" s="5" t="s">
        <v>567</v>
      </c>
      <c r="V66" s="6" t="s">
        <v>568</v>
      </c>
      <c r="W66" s="7" t="s">
        <v>569</v>
      </c>
    </row>
    <row r="67" customFormat="false" ht="27.75" hidden="false" customHeight="true" outlineLevel="0" collapsed="false">
      <c r="A67" s="3" t="s">
        <v>570</v>
      </c>
      <c r="B67" s="3" t="s">
        <v>545</v>
      </c>
      <c r="C67" s="3" t="s">
        <v>546</v>
      </c>
      <c r="D67" s="3" t="s">
        <v>547</v>
      </c>
      <c r="E67" s="3" t="s">
        <v>548</v>
      </c>
      <c r="F67" s="3" t="n">
        <v>5</v>
      </c>
      <c r="G67" s="3" t="s">
        <v>61</v>
      </c>
      <c r="H67" s="3" t="s">
        <v>571</v>
      </c>
      <c r="I67" s="3" t="s">
        <v>63</v>
      </c>
      <c r="J67" s="3" t="s">
        <v>572</v>
      </c>
      <c r="K67" s="3" t="s">
        <v>32</v>
      </c>
      <c r="L67" s="3" t="s">
        <v>573</v>
      </c>
      <c r="M67" s="3" t="s">
        <v>34</v>
      </c>
      <c r="N67" s="3"/>
      <c r="O67" s="3" t="s">
        <v>574</v>
      </c>
      <c r="P67" s="3" t="s">
        <v>91</v>
      </c>
      <c r="Q67" s="5" t="s">
        <v>37</v>
      </c>
      <c r="R67" s="5" t="s">
        <v>575</v>
      </c>
      <c r="S67" s="5" t="s">
        <v>576</v>
      </c>
      <c r="T67" s="5" t="s">
        <v>39</v>
      </c>
      <c r="U67" s="5" t="s">
        <v>577</v>
      </c>
      <c r="V67" s="6" t="s">
        <v>578</v>
      </c>
      <c r="W67" s="7" t="s">
        <v>579</v>
      </c>
    </row>
    <row r="68" customFormat="false" ht="27.75" hidden="false" customHeight="true" outlineLevel="0" collapsed="false">
      <c r="A68" s="3" t="s">
        <v>580</v>
      </c>
      <c r="B68" s="3" t="s">
        <v>545</v>
      </c>
      <c r="C68" s="3" t="s">
        <v>546</v>
      </c>
      <c r="D68" s="3" t="s">
        <v>547</v>
      </c>
      <c r="E68" s="3" t="s">
        <v>548</v>
      </c>
      <c r="F68" s="3" t="n">
        <v>6</v>
      </c>
      <c r="G68" s="3" t="s">
        <v>61</v>
      </c>
      <c r="H68" s="3" t="s">
        <v>581</v>
      </c>
      <c r="I68" s="3" t="s">
        <v>416</v>
      </c>
      <c r="J68" s="3" t="s">
        <v>572</v>
      </c>
      <c r="K68" s="3" t="s">
        <v>32</v>
      </c>
      <c r="L68" s="3" t="s">
        <v>582</v>
      </c>
      <c r="M68" s="3" t="s">
        <v>34</v>
      </c>
      <c r="N68" s="3"/>
      <c r="O68" s="3" t="s">
        <v>574</v>
      </c>
      <c r="P68" s="3" t="s">
        <v>91</v>
      </c>
      <c r="Q68" s="5" t="s">
        <v>67</v>
      </c>
      <c r="R68" s="5" t="s">
        <v>575</v>
      </c>
      <c r="S68" s="5" t="s">
        <v>583</v>
      </c>
      <c r="T68" s="5" t="s">
        <v>39</v>
      </c>
      <c r="U68" s="5" t="s">
        <v>577</v>
      </c>
      <c r="V68" s="6" t="s">
        <v>584</v>
      </c>
      <c r="W68" s="7" t="s">
        <v>585</v>
      </c>
    </row>
    <row r="69" customFormat="false" ht="27.75" hidden="false" customHeight="true" outlineLevel="0" collapsed="false">
      <c r="A69" s="3" t="s">
        <v>586</v>
      </c>
      <c r="B69" s="3" t="s">
        <v>545</v>
      </c>
      <c r="C69" s="3" t="s">
        <v>546</v>
      </c>
      <c r="D69" s="3" t="s">
        <v>547</v>
      </c>
      <c r="E69" s="3" t="s">
        <v>548</v>
      </c>
      <c r="F69" s="3" t="n">
        <v>7</v>
      </c>
      <c r="G69" s="3" t="s">
        <v>61</v>
      </c>
      <c r="H69" s="3" t="s">
        <v>587</v>
      </c>
      <c r="I69" s="3" t="s">
        <v>87</v>
      </c>
      <c r="J69" s="3" t="s">
        <v>588</v>
      </c>
      <c r="K69" s="3" t="s">
        <v>32</v>
      </c>
      <c r="L69" s="3" t="s">
        <v>589</v>
      </c>
      <c r="M69" s="3" t="s">
        <v>34</v>
      </c>
      <c r="N69" s="3"/>
      <c r="O69" s="3" t="s">
        <v>105</v>
      </c>
      <c r="P69" s="5" t="s">
        <v>91</v>
      </c>
      <c r="Q69" s="5" t="s">
        <v>67</v>
      </c>
      <c r="R69" s="5" t="s">
        <v>590</v>
      </c>
      <c r="S69" s="5" t="s">
        <v>591</v>
      </c>
      <c r="T69" s="5" t="s">
        <v>39</v>
      </c>
      <c r="U69" s="5" t="s">
        <v>592</v>
      </c>
      <c r="V69" s="6" t="s">
        <v>593</v>
      </c>
      <c r="W69" s="7" t="s">
        <v>594</v>
      </c>
    </row>
    <row r="70" customFormat="false" ht="27.75" hidden="false" customHeight="true" outlineLevel="0" collapsed="false">
      <c r="A70" s="3" t="s">
        <v>595</v>
      </c>
      <c r="B70" s="3" t="s">
        <v>545</v>
      </c>
      <c r="C70" s="3" t="s">
        <v>546</v>
      </c>
      <c r="D70" s="3" t="s">
        <v>547</v>
      </c>
      <c r="E70" s="3" t="s">
        <v>548</v>
      </c>
      <c r="F70" s="3" t="n">
        <v>8</v>
      </c>
      <c r="G70" s="3" t="s">
        <v>61</v>
      </c>
      <c r="H70" s="3" t="s">
        <v>596</v>
      </c>
      <c r="I70" s="3" t="s">
        <v>102</v>
      </c>
      <c r="J70" s="3" t="s">
        <v>572</v>
      </c>
      <c r="K70" s="3" t="s">
        <v>384</v>
      </c>
      <c r="L70" s="3" t="s">
        <v>114</v>
      </c>
      <c r="M70" s="3" t="s">
        <v>34</v>
      </c>
      <c r="N70" s="3" t="s">
        <v>452</v>
      </c>
      <c r="O70" s="3" t="s">
        <v>597</v>
      </c>
      <c r="P70" s="5" t="s">
        <v>91</v>
      </c>
      <c r="Q70" s="5" t="s">
        <v>67</v>
      </c>
      <c r="R70" s="5" t="s">
        <v>598</v>
      </c>
      <c r="S70" s="5" t="s">
        <v>599</v>
      </c>
      <c r="T70" s="3" t="s">
        <v>39</v>
      </c>
      <c r="U70" s="5" t="s">
        <v>600</v>
      </c>
      <c r="V70" s="6" t="s">
        <v>601</v>
      </c>
      <c r="W70" s="7" t="s">
        <v>602</v>
      </c>
    </row>
    <row r="71" customFormat="false" ht="27.75" hidden="false" customHeight="true" outlineLevel="0" collapsed="false">
      <c r="A71" s="3" t="s">
        <v>603</v>
      </c>
      <c r="B71" s="3" t="s">
        <v>545</v>
      </c>
      <c r="C71" s="3" t="s">
        <v>546</v>
      </c>
      <c r="D71" s="3" t="s">
        <v>547</v>
      </c>
      <c r="E71" s="3" t="s">
        <v>548</v>
      </c>
      <c r="F71" s="3" t="n">
        <v>9</v>
      </c>
      <c r="G71" s="3" t="s">
        <v>61</v>
      </c>
      <c r="H71" s="3" t="s">
        <v>604</v>
      </c>
      <c r="I71" s="3" t="s">
        <v>102</v>
      </c>
      <c r="J71" s="3" t="s">
        <v>572</v>
      </c>
      <c r="K71" s="3" t="s">
        <v>384</v>
      </c>
      <c r="L71" s="3" t="s">
        <v>114</v>
      </c>
      <c r="M71" s="3" t="s">
        <v>34</v>
      </c>
      <c r="N71" s="3" t="s">
        <v>452</v>
      </c>
      <c r="O71" s="3" t="s">
        <v>597</v>
      </c>
      <c r="P71" s="5" t="s">
        <v>91</v>
      </c>
      <c r="Q71" s="5" t="s">
        <v>67</v>
      </c>
      <c r="R71" s="5" t="s">
        <v>605</v>
      </c>
      <c r="S71" s="5" t="s">
        <v>606</v>
      </c>
      <c r="T71" s="3" t="s">
        <v>39</v>
      </c>
      <c r="U71" s="5" t="s">
        <v>607</v>
      </c>
      <c r="V71" s="6" t="s">
        <v>601</v>
      </c>
      <c r="W71" s="7" t="s">
        <v>608</v>
      </c>
    </row>
    <row r="72" customFormat="false" ht="27.75" hidden="false" customHeight="true" outlineLevel="0" collapsed="false">
      <c r="A72" s="3" t="s">
        <v>609</v>
      </c>
      <c r="B72" s="3" t="s">
        <v>545</v>
      </c>
      <c r="C72" s="3" t="s">
        <v>546</v>
      </c>
      <c r="D72" s="3" t="s">
        <v>547</v>
      </c>
      <c r="E72" s="3" t="s">
        <v>548</v>
      </c>
      <c r="F72" s="3" t="n">
        <v>10</v>
      </c>
      <c r="G72" s="3" t="s">
        <v>61</v>
      </c>
      <c r="H72" s="3" t="s">
        <v>610</v>
      </c>
      <c r="I72" s="3" t="s">
        <v>102</v>
      </c>
      <c r="J72" s="3" t="s">
        <v>572</v>
      </c>
      <c r="K72" s="3" t="s">
        <v>384</v>
      </c>
      <c r="L72" s="3" t="s">
        <v>114</v>
      </c>
      <c r="M72" s="3" t="s">
        <v>34</v>
      </c>
      <c r="N72" s="3" t="s">
        <v>452</v>
      </c>
      <c r="O72" s="3" t="s">
        <v>597</v>
      </c>
      <c r="P72" s="5" t="s">
        <v>91</v>
      </c>
      <c r="Q72" s="5" t="s">
        <v>67</v>
      </c>
      <c r="R72" s="5" t="s">
        <v>605</v>
      </c>
      <c r="S72" s="5" t="s">
        <v>611</v>
      </c>
      <c r="T72" s="3" t="s">
        <v>39</v>
      </c>
      <c r="U72" s="5" t="s">
        <v>612</v>
      </c>
      <c r="V72" s="6" t="s">
        <v>601</v>
      </c>
      <c r="W72" s="7" t="s">
        <v>613</v>
      </c>
    </row>
    <row r="73" customFormat="false" ht="27.75" hidden="false" customHeight="true" outlineLevel="0" collapsed="false">
      <c r="A73" s="3" t="s">
        <v>614</v>
      </c>
      <c r="B73" s="3" t="s">
        <v>545</v>
      </c>
      <c r="C73" s="3" t="s">
        <v>546</v>
      </c>
      <c r="D73" s="3" t="s">
        <v>547</v>
      </c>
      <c r="E73" s="3" t="s">
        <v>548</v>
      </c>
      <c r="F73" s="3" t="n">
        <v>11</v>
      </c>
      <c r="G73" s="3" t="s">
        <v>61</v>
      </c>
      <c r="H73" s="3" t="s">
        <v>615</v>
      </c>
      <c r="I73" s="3" t="s">
        <v>616</v>
      </c>
      <c r="J73" s="3" t="s">
        <v>572</v>
      </c>
      <c r="K73" s="3" t="s">
        <v>384</v>
      </c>
      <c r="L73" s="3" t="s">
        <v>114</v>
      </c>
      <c r="M73" s="3" t="s">
        <v>34</v>
      </c>
      <c r="N73" s="3" t="s">
        <v>452</v>
      </c>
      <c r="O73" s="3" t="s">
        <v>597</v>
      </c>
      <c r="P73" s="5" t="s">
        <v>91</v>
      </c>
      <c r="Q73" s="5" t="s">
        <v>67</v>
      </c>
      <c r="R73" s="5" t="s">
        <v>617</v>
      </c>
      <c r="S73" s="5" t="s">
        <v>618</v>
      </c>
      <c r="T73" s="5" t="s">
        <v>39</v>
      </c>
      <c r="U73" s="5" t="s">
        <v>619</v>
      </c>
      <c r="V73" s="6" t="s">
        <v>620</v>
      </c>
      <c r="W73" s="7" t="s">
        <v>621</v>
      </c>
    </row>
    <row r="74" customFormat="false" ht="27.75" hidden="false" customHeight="true" outlineLevel="0" collapsed="false">
      <c r="A74" s="3" t="s">
        <v>622</v>
      </c>
      <c r="B74" s="3" t="s">
        <v>545</v>
      </c>
      <c r="C74" s="3" t="s">
        <v>546</v>
      </c>
      <c r="D74" s="3" t="s">
        <v>547</v>
      </c>
      <c r="E74" s="3" t="s">
        <v>548</v>
      </c>
      <c r="F74" s="3" t="n">
        <v>12</v>
      </c>
      <c r="G74" s="3" t="s">
        <v>61</v>
      </c>
      <c r="H74" s="3" t="s">
        <v>623</v>
      </c>
      <c r="I74" s="3" t="s">
        <v>102</v>
      </c>
      <c r="J74" s="3" t="s">
        <v>572</v>
      </c>
      <c r="K74" s="3" t="s">
        <v>113</v>
      </c>
      <c r="L74" s="3" t="s">
        <v>114</v>
      </c>
      <c r="M74" s="3" t="s">
        <v>34</v>
      </c>
      <c r="N74" s="3"/>
      <c r="O74" s="3" t="s">
        <v>624</v>
      </c>
      <c r="P74" s="5" t="s">
        <v>91</v>
      </c>
      <c r="Q74" s="5" t="s">
        <v>67</v>
      </c>
      <c r="R74" s="5" t="s">
        <v>625</v>
      </c>
      <c r="S74" s="5" t="s">
        <v>626</v>
      </c>
      <c r="T74" s="3" t="s">
        <v>39</v>
      </c>
      <c r="U74" s="5" t="s">
        <v>627</v>
      </c>
      <c r="V74" s="6" t="s">
        <v>628</v>
      </c>
      <c r="W74" s="7" t="s">
        <v>629</v>
      </c>
    </row>
    <row r="75" customFormat="false" ht="27.75" hidden="false" customHeight="true" outlineLevel="0" collapsed="false">
      <c r="A75" s="3" t="s">
        <v>630</v>
      </c>
      <c r="B75" s="3" t="s">
        <v>545</v>
      </c>
      <c r="C75" s="3" t="s">
        <v>546</v>
      </c>
      <c r="D75" s="3" t="s">
        <v>547</v>
      </c>
      <c r="E75" s="3" t="s">
        <v>548</v>
      </c>
      <c r="F75" s="3" t="n">
        <v>13</v>
      </c>
      <c r="G75" s="3" t="s">
        <v>61</v>
      </c>
      <c r="H75" s="3" t="s">
        <v>631</v>
      </c>
      <c r="I75" s="3" t="s">
        <v>63</v>
      </c>
      <c r="J75" s="3" t="s">
        <v>572</v>
      </c>
      <c r="K75" s="3" t="s">
        <v>113</v>
      </c>
      <c r="L75" s="3" t="s">
        <v>114</v>
      </c>
      <c r="M75" s="3" t="s">
        <v>34</v>
      </c>
      <c r="N75" s="3"/>
      <c r="O75" s="3" t="s">
        <v>632</v>
      </c>
      <c r="P75" s="3" t="s">
        <v>91</v>
      </c>
      <c r="Q75" s="5" t="s">
        <v>67</v>
      </c>
      <c r="R75" s="3" t="s">
        <v>633</v>
      </c>
      <c r="S75" s="4" t="s">
        <v>634</v>
      </c>
      <c r="T75" s="3" t="s">
        <v>39</v>
      </c>
      <c r="U75" s="5" t="s">
        <v>635</v>
      </c>
      <c r="V75" s="6" t="s">
        <v>636</v>
      </c>
      <c r="W75" s="7" t="s">
        <v>637</v>
      </c>
    </row>
    <row r="76" customFormat="false" ht="27.75" hidden="false" customHeight="true" outlineLevel="0" collapsed="false">
      <c r="A76" s="3" t="s">
        <v>638</v>
      </c>
      <c r="B76" s="3" t="s">
        <v>545</v>
      </c>
      <c r="C76" s="3" t="s">
        <v>546</v>
      </c>
      <c r="D76" s="3" t="s">
        <v>547</v>
      </c>
      <c r="E76" s="3" t="s">
        <v>548</v>
      </c>
      <c r="F76" s="3" t="n">
        <v>14</v>
      </c>
      <c r="G76" s="3" t="s">
        <v>61</v>
      </c>
      <c r="H76" s="3" t="s">
        <v>639</v>
      </c>
      <c r="I76" s="3" t="s">
        <v>416</v>
      </c>
      <c r="J76" s="3" t="s">
        <v>572</v>
      </c>
      <c r="K76" s="3" t="s">
        <v>113</v>
      </c>
      <c r="L76" s="3" t="s">
        <v>114</v>
      </c>
      <c r="M76" s="3" t="s">
        <v>34</v>
      </c>
      <c r="N76" s="3"/>
      <c r="O76" s="3" t="s">
        <v>632</v>
      </c>
      <c r="P76" s="3" t="s">
        <v>91</v>
      </c>
      <c r="Q76" s="5" t="s">
        <v>67</v>
      </c>
      <c r="R76" s="5" t="s">
        <v>640</v>
      </c>
      <c r="S76" s="5" t="s">
        <v>641</v>
      </c>
      <c r="T76" s="3" t="s">
        <v>39</v>
      </c>
      <c r="U76" s="5" t="s">
        <v>642</v>
      </c>
      <c r="V76" s="6" t="s">
        <v>643</v>
      </c>
      <c r="W76" s="7" t="s">
        <v>644</v>
      </c>
    </row>
    <row r="77" customFormat="false" ht="27.75" hidden="false" customHeight="true" outlineLevel="0" collapsed="false">
      <c r="A77" s="3" t="s">
        <v>645</v>
      </c>
      <c r="B77" s="3" t="s">
        <v>545</v>
      </c>
      <c r="C77" s="3" t="s">
        <v>546</v>
      </c>
      <c r="D77" s="3" t="s">
        <v>547</v>
      </c>
      <c r="E77" s="3" t="s">
        <v>548</v>
      </c>
      <c r="F77" s="3" t="n">
        <v>15</v>
      </c>
      <c r="G77" s="3" t="s">
        <v>61</v>
      </c>
      <c r="H77" s="3" t="s">
        <v>646</v>
      </c>
      <c r="I77" s="3" t="s">
        <v>63</v>
      </c>
      <c r="J77" s="3" t="s">
        <v>572</v>
      </c>
      <c r="K77" s="3" t="s">
        <v>76</v>
      </c>
      <c r="L77" s="3" t="s">
        <v>184</v>
      </c>
      <c r="M77" s="3" t="s">
        <v>34</v>
      </c>
      <c r="N77" s="3"/>
      <c r="O77" s="3" t="s">
        <v>647</v>
      </c>
      <c r="P77" s="5" t="s">
        <v>91</v>
      </c>
      <c r="Q77" s="5" t="s">
        <v>67</v>
      </c>
      <c r="R77" s="5" t="s">
        <v>648</v>
      </c>
      <c r="S77" s="5" t="s">
        <v>649</v>
      </c>
      <c r="T77" s="5" t="s">
        <v>39</v>
      </c>
      <c r="U77" s="5" t="s">
        <v>650</v>
      </c>
      <c r="V77" s="6" t="s">
        <v>651</v>
      </c>
      <c r="W77" s="7" t="s">
        <v>652</v>
      </c>
    </row>
    <row r="78" customFormat="false" ht="27.75" hidden="false" customHeight="true" outlineLevel="0" collapsed="false">
      <c r="A78" s="3" t="s">
        <v>653</v>
      </c>
      <c r="B78" s="3" t="s">
        <v>545</v>
      </c>
      <c r="C78" s="3" t="s">
        <v>546</v>
      </c>
      <c r="D78" s="3" t="s">
        <v>547</v>
      </c>
      <c r="E78" s="3" t="s">
        <v>548</v>
      </c>
      <c r="F78" s="3" t="n">
        <v>16</v>
      </c>
      <c r="G78" s="3" t="s">
        <v>61</v>
      </c>
      <c r="H78" s="3" t="s">
        <v>654</v>
      </c>
      <c r="I78" s="3" t="s">
        <v>416</v>
      </c>
      <c r="J78" s="3" t="s">
        <v>572</v>
      </c>
      <c r="K78" s="3" t="s">
        <v>76</v>
      </c>
      <c r="L78" s="3" t="s">
        <v>184</v>
      </c>
      <c r="M78" s="3" t="s">
        <v>34</v>
      </c>
      <c r="N78" s="3"/>
      <c r="O78" s="3" t="s">
        <v>647</v>
      </c>
      <c r="P78" s="5" t="s">
        <v>91</v>
      </c>
      <c r="Q78" s="5" t="s">
        <v>67</v>
      </c>
      <c r="R78" s="5" t="s">
        <v>648</v>
      </c>
      <c r="S78" s="5" t="s">
        <v>649</v>
      </c>
      <c r="T78" s="3" t="s">
        <v>176</v>
      </c>
      <c r="U78" s="3"/>
      <c r="V78" s="6" t="s">
        <v>655</v>
      </c>
      <c r="W78" s="7" t="s">
        <v>656</v>
      </c>
    </row>
    <row r="79" customFormat="false" ht="27.75" hidden="false" customHeight="true" outlineLevel="0" collapsed="false">
      <c r="A79" s="3" t="s">
        <v>657</v>
      </c>
      <c r="B79" s="3" t="s">
        <v>545</v>
      </c>
      <c r="C79" s="3" t="s">
        <v>546</v>
      </c>
      <c r="D79" s="3" t="s">
        <v>547</v>
      </c>
      <c r="E79" s="3" t="s">
        <v>548</v>
      </c>
      <c r="F79" s="3" t="n">
        <v>17</v>
      </c>
      <c r="G79" s="3" t="s">
        <v>61</v>
      </c>
      <c r="H79" s="3" t="s">
        <v>658</v>
      </c>
      <c r="I79" s="3" t="s">
        <v>63</v>
      </c>
      <c r="J79" s="3" t="s">
        <v>659</v>
      </c>
      <c r="K79" s="3" t="s">
        <v>76</v>
      </c>
      <c r="L79" s="3" t="s">
        <v>184</v>
      </c>
      <c r="M79" s="3" t="s">
        <v>564</v>
      </c>
      <c r="N79" s="3"/>
      <c r="O79" s="3" t="s">
        <v>660</v>
      </c>
      <c r="P79" s="5" t="s">
        <v>66</v>
      </c>
      <c r="Q79" s="5" t="s">
        <v>67</v>
      </c>
      <c r="R79" s="5" t="s">
        <v>661</v>
      </c>
      <c r="S79" s="5" t="s">
        <v>662</v>
      </c>
      <c r="T79" s="5" t="s">
        <v>39</v>
      </c>
      <c r="U79" s="5" t="s">
        <v>663</v>
      </c>
      <c r="V79" s="6" t="s">
        <v>664</v>
      </c>
      <c r="W79" s="7" t="s">
        <v>665</v>
      </c>
    </row>
    <row r="80" customFormat="false" ht="27.75" hidden="false" customHeight="true" outlineLevel="0" collapsed="false">
      <c r="A80" s="3" t="s">
        <v>666</v>
      </c>
      <c r="B80" s="3" t="s">
        <v>545</v>
      </c>
      <c r="C80" s="3" t="s">
        <v>546</v>
      </c>
      <c r="D80" s="3" t="s">
        <v>547</v>
      </c>
      <c r="E80" s="3" t="s">
        <v>548</v>
      </c>
      <c r="F80" s="3" t="n">
        <v>18</v>
      </c>
      <c r="G80" s="3" t="s">
        <v>61</v>
      </c>
      <c r="H80" s="3" t="s">
        <v>667</v>
      </c>
      <c r="I80" s="3" t="s">
        <v>416</v>
      </c>
      <c r="J80" s="3" t="s">
        <v>659</v>
      </c>
      <c r="K80" s="3" t="s">
        <v>76</v>
      </c>
      <c r="L80" s="3" t="s">
        <v>184</v>
      </c>
      <c r="M80" s="3" t="s">
        <v>564</v>
      </c>
      <c r="N80" s="3"/>
      <c r="O80" s="3" t="s">
        <v>660</v>
      </c>
      <c r="P80" s="5" t="s">
        <v>66</v>
      </c>
      <c r="Q80" s="5" t="s">
        <v>67</v>
      </c>
      <c r="R80" s="3"/>
      <c r="S80" s="5" t="s">
        <v>662</v>
      </c>
      <c r="T80" s="3" t="s">
        <v>176</v>
      </c>
      <c r="U80" s="3"/>
      <c r="V80" s="6" t="s">
        <v>668</v>
      </c>
      <c r="W80" s="7" t="s">
        <v>669</v>
      </c>
    </row>
    <row r="81" customFormat="false" ht="27.75" hidden="false" customHeight="true" outlineLevel="0" collapsed="false">
      <c r="A81" s="3" t="s">
        <v>670</v>
      </c>
      <c r="B81" s="3" t="s">
        <v>545</v>
      </c>
      <c r="C81" s="3" t="s">
        <v>546</v>
      </c>
      <c r="D81" s="3" t="s">
        <v>547</v>
      </c>
      <c r="E81" s="3" t="s">
        <v>548</v>
      </c>
      <c r="F81" s="3" t="n">
        <v>19</v>
      </c>
      <c r="G81" s="3" t="s">
        <v>61</v>
      </c>
      <c r="H81" s="3" t="s">
        <v>671</v>
      </c>
      <c r="I81" s="3" t="s">
        <v>416</v>
      </c>
      <c r="J81" s="3" t="s">
        <v>672</v>
      </c>
      <c r="K81" s="3" t="s">
        <v>32</v>
      </c>
      <c r="L81" s="3" t="s">
        <v>274</v>
      </c>
      <c r="M81" s="3" t="s">
        <v>34</v>
      </c>
      <c r="N81" s="3"/>
      <c r="O81" s="3" t="s">
        <v>673</v>
      </c>
      <c r="P81" s="5" t="s">
        <v>66</v>
      </c>
      <c r="Q81" s="5" t="s">
        <v>67</v>
      </c>
      <c r="R81" s="5" t="s">
        <v>674</v>
      </c>
      <c r="S81" s="5" t="s">
        <v>675</v>
      </c>
      <c r="T81" s="5" t="s">
        <v>39</v>
      </c>
      <c r="U81" s="5" t="s">
        <v>676</v>
      </c>
      <c r="V81" s="6" t="s">
        <v>677</v>
      </c>
      <c r="W81" s="7" t="s">
        <v>678</v>
      </c>
    </row>
    <row r="82" customFormat="false" ht="27.75" hidden="false" customHeight="true" outlineLevel="0" collapsed="false">
      <c r="A82" s="3" t="s">
        <v>679</v>
      </c>
      <c r="B82" s="3" t="s">
        <v>545</v>
      </c>
      <c r="C82" s="3" t="s">
        <v>546</v>
      </c>
      <c r="D82" s="3" t="s">
        <v>547</v>
      </c>
      <c r="E82" s="3" t="s">
        <v>548</v>
      </c>
      <c r="F82" s="3" t="n">
        <v>20</v>
      </c>
      <c r="G82" s="3" t="s">
        <v>61</v>
      </c>
      <c r="H82" s="3" t="s">
        <v>680</v>
      </c>
      <c r="I82" s="3" t="s">
        <v>63</v>
      </c>
      <c r="J82" s="3" t="s">
        <v>681</v>
      </c>
      <c r="K82" s="3" t="s">
        <v>76</v>
      </c>
      <c r="L82" s="3" t="s">
        <v>184</v>
      </c>
      <c r="M82" s="3" t="s">
        <v>682</v>
      </c>
      <c r="N82" s="3" t="s">
        <v>265</v>
      </c>
      <c r="O82" s="3" t="s">
        <v>683</v>
      </c>
      <c r="P82" s="3" t="s">
        <v>91</v>
      </c>
      <c r="Q82" s="4" t="s">
        <v>67</v>
      </c>
      <c r="R82" s="5" t="s">
        <v>684</v>
      </c>
      <c r="S82" s="5" t="s">
        <v>685</v>
      </c>
      <c r="T82" s="3" t="s">
        <v>39</v>
      </c>
      <c r="U82" s="5" t="s">
        <v>686</v>
      </c>
      <c r="V82" s="6" t="s">
        <v>687</v>
      </c>
      <c r="W82" s="7" t="s">
        <v>688</v>
      </c>
    </row>
    <row r="83" customFormat="false" ht="27.75" hidden="false" customHeight="true" outlineLevel="0" collapsed="false">
      <c r="A83" s="3" t="s">
        <v>689</v>
      </c>
      <c r="B83" s="3" t="s">
        <v>545</v>
      </c>
      <c r="C83" s="3" t="s">
        <v>546</v>
      </c>
      <c r="D83" s="3" t="s">
        <v>547</v>
      </c>
      <c r="E83" s="3" t="s">
        <v>548</v>
      </c>
      <c r="F83" s="3" t="n">
        <v>21</v>
      </c>
      <c r="G83" s="3" t="s">
        <v>61</v>
      </c>
      <c r="H83" s="3" t="s">
        <v>690</v>
      </c>
      <c r="I83" s="3" t="s">
        <v>691</v>
      </c>
      <c r="J83" s="3" t="s">
        <v>692</v>
      </c>
      <c r="K83" s="3" t="s">
        <v>76</v>
      </c>
      <c r="L83" s="3" t="s">
        <v>184</v>
      </c>
      <c r="M83" s="3" t="s">
        <v>564</v>
      </c>
      <c r="N83" s="3"/>
      <c r="O83" s="3" t="s">
        <v>693</v>
      </c>
      <c r="P83" s="3" t="s">
        <v>91</v>
      </c>
      <c r="Q83" s="5" t="s">
        <v>67</v>
      </c>
      <c r="R83" s="5" t="s">
        <v>694</v>
      </c>
      <c r="S83" s="5" t="s">
        <v>695</v>
      </c>
      <c r="T83" s="5" t="s">
        <v>39</v>
      </c>
      <c r="U83" s="5" t="s">
        <v>696</v>
      </c>
      <c r="V83" s="6" t="s">
        <v>697</v>
      </c>
      <c r="W83" s="7" t="s">
        <v>698</v>
      </c>
    </row>
    <row r="84" customFormat="false" ht="27.75" hidden="false" customHeight="true" outlineLevel="0" collapsed="false">
      <c r="A84" s="3" t="s">
        <v>699</v>
      </c>
      <c r="B84" s="3" t="s">
        <v>545</v>
      </c>
      <c r="C84" s="3" t="s">
        <v>546</v>
      </c>
      <c r="D84" s="3" t="s">
        <v>547</v>
      </c>
      <c r="E84" s="3" t="s">
        <v>548</v>
      </c>
      <c r="F84" s="3" t="n">
        <v>22</v>
      </c>
      <c r="G84" s="3" t="s">
        <v>61</v>
      </c>
      <c r="H84" s="3" t="s">
        <v>700</v>
      </c>
      <c r="I84" s="3" t="s">
        <v>691</v>
      </c>
      <c r="J84" s="3" t="s">
        <v>701</v>
      </c>
      <c r="K84" s="3" t="s">
        <v>76</v>
      </c>
      <c r="L84" s="3" t="s">
        <v>184</v>
      </c>
      <c r="M84" s="3" t="s">
        <v>78</v>
      </c>
      <c r="N84" s="3"/>
      <c r="O84" s="3" t="s">
        <v>702</v>
      </c>
      <c r="P84" s="3" t="s">
        <v>91</v>
      </c>
      <c r="Q84" s="4" t="s">
        <v>67</v>
      </c>
      <c r="R84" s="5" t="s">
        <v>703</v>
      </c>
      <c r="S84" s="5" t="s">
        <v>704</v>
      </c>
      <c r="T84" s="5" t="s">
        <v>39</v>
      </c>
      <c r="U84" s="5" t="s">
        <v>705</v>
      </c>
      <c r="V84" s="6" t="s">
        <v>706</v>
      </c>
      <c r="W84" s="7" t="s">
        <v>707</v>
      </c>
    </row>
    <row r="85" customFormat="false" ht="27.75" hidden="false" customHeight="true" outlineLevel="0" collapsed="false">
      <c r="A85" s="3" t="s">
        <v>708</v>
      </c>
      <c r="B85" s="3" t="s">
        <v>545</v>
      </c>
      <c r="C85" s="3" t="s">
        <v>546</v>
      </c>
      <c r="D85" s="3" t="s">
        <v>547</v>
      </c>
      <c r="E85" s="3" t="s">
        <v>548</v>
      </c>
      <c r="F85" s="3" t="n">
        <v>23</v>
      </c>
      <c r="G85" s="3" t="s">
        <v>61</v>
      </c>
      <c r="H85" s="3" t="s">
        <v>709</v>
      </c>
      <c r="I85" s="3" t="s">
        <v>63</v>
      </c>
      <c r="J85" s="3" t="s">
        <v>710</v>
      </c>
      <c r="K85" s="3" t="s">
        <v>76</v>
      </c>
      <c r="L85" s="3" t="s">
        <v>184</v>
      </c>
      <c r="M85" s="3" t="s">
        <v>156</v>
      </c>
      <c r="N85" s="3"/>
      <c r="O85" s="3" t="s">
        <v>711</v>
      </c>
      <c r="P85" s="3" t="s">
        <v>91</v>
      </c>
      <c r="Q85" s="4" t="s">
        <v>67</v>
      </c>
      <c r="R85" s="5" t="s">
        <v>712</v>
      </c>
      <c r="S85" s="5" t="s">
        <v>713</v>
      </c>
      <c r="T85" s="5" t="s">
        <v>39</v>
      </c>
      <c r="U85" s="5" t="s">
        <v>714</v>
      </c>
      <c r="V85" s="6" t="s">
        <v>715</v>
      </c>
      <c r="W85" s="7" t="s">
        <v>716</v>
      </c>
    </row>
    <row r="86" customFormat="false" ht="27.75" hidden="false" customHeight="true" outlineLevel="0" collapsed="false">
      <c r="A86" s="3" t="s">
        <v>717</v>
      </c>
      <c r="B86" s="3" t="s">
        <v>545</v>
      </c>
      <c r="C86" s="3" t="s">
        <v>546</v>
      </c>
      <c r="D86" s="3" t="s">
        <v>547</v>
      </c>
      <c r="E86" s="3" t="s">
        <v>548</v>
      </c>
      <c r="F86" s="3" t="n">
        <v>24</v>
      </c>
      <c r="G86" s="3" t="s">
        <v>28</v>
      </c>
      <c r="H86" s="3" t="s">
        <v>718</v>
      </c>
      <c r="I86" s="3" t="s">
        <v>45</v>
      </c>
      <c r="J86" s="3" t="s">
        <v>31</v>
      </c>
      <c r="K86" s="3" t="s">
        <v>76</v>
      </c>
      <c r="L86" s="3" t="s">
        <v>184</v>
      </c>
      <c r="M86" s="3" t="s">
        <v>564</v>
      </c>
      <c r="N86" s="3"/>
      <c r="O86" s="3" t="s">
        <v>719</v>
      </c>
      <c r="P86" s="3" t="s">
        <v>36</v>
      </c>
      <c r="Q86" s="5" t="s">
        <v>37</v>
      </c>
      <c r="R86" s="5" t="s">
        <v>720</v>
      </c>
      <c r="S86" s="5" t="s">
        <v>721</v>
      </c>
      <c r="T86" s="3" t="s">
        <v>39</v>
      </c>
      <c r="U86" s="5" t="s">
        <v>722</v>
      </c>
      <c r="V86" s="6" t="s">
        <v>723</v>
      </c>
      <c r="W86" s="7" t="s">
        <v>724</v>
      </c>
    </row>
    <row r="87" customFormat="false" ht="27.75" hidden="false" customHeight="true" outlineLevel="0" collapsed="false">
      <c r="A87" s="3" t="s">
        <v>725</v>
      </c>
      <c r="B87" s="3" t="s">
        <v>545</v>
      </c>
      <c r="C87" s="3" t="s">
        <v>546</v>
      </c>
      <c r="D87" s="3" t="s">
        <v>547</v>
      </c>
      <c r="E87" s="3" t="s">
        <v>548</v>
      </c>
      <c r="F87" s="3" t="n">
        <v>25</v>
      </c>
      <c r="G87" s="3" t="s">
        <v>28</v>
      </c>
      <c r="H87" s="3" t="s">
        <v>726</v>
      </c>
      <c r="I87" s="3" t="s">
        <v>727</v>
      </c>
      <c r="J87" s="3" t="s">
        <v>31</v>
      </c>
      <c r="K87" s="3" t="s">
        <v>76</v>
      </c>
      <c r="L87" s="3" t="s">
        <v>184</v>
      </c>
      <c r="M87" s="3" t="s">
        <v>564</v>
      </c>
      <c r="N87" s="3"/>
      <c r="O87" s="3" t="s">
        <v>343</v>
      </c>
      <c r="P87" s="5" t="s">
        <v>106</v>
      </c>
      <c r="Q87" s="3" t="s">
        <v>186</v>
      </c>
      <c r="R87" s="3"/>
      <c r="S87" s="5"/>
      <c r="T87" s="3" t="s">
        <v>176</v>
      </c>
      <c r="U87" s="3"/>
      <c r="V87" s="6" t="s">
        <v>728</v>
      </c>
      <c r="W87" s="7" t="s">
        <v>729</v>
      </c>
    </row>
    <row r="88" customFormat="false" ht="27.75" hidden="false" customHeight="true" outlineLevel="0" collapsed="false">
      <c r="A88" s="3" t="s">
        <v>730</v>
      </c>
      <c r="B88" s="3" t="s">
        <v>545</v>
      </c>
      <c r="C88" s="3" t="s">
        <v>546</v>
      </c>
      <c r="D88" s="3" t="s">
        <v>547</v>
      </c>
      <c r="E88" s="3" t="s">
        <v>548</v>
      </c>
      <c r="F88" s="3" t="n">
        <v>26</v>
      </c>
      <c r="G88" s="3" t="s">
        <v>28</v>
      </c>
      <c r="H88" s="3" t="s">
        <v>731</v>
      </c>
      <c r="I88" s="3" t="s">
        <v>732</v>
      </c>
      <c r="J88" s="3" t="s">
        <v>31</v>
      </c>
      <c r="K88" s="3" t="s">
        <v>32</v>
      </c>
      <c r="L88" s="3" t="s">
        <v>77</v>
      </c>
      <c r="M88" s="3" t="s">
        <v>34</v>
      </c>
      <c r="N88" s="3" t="s">
        <v>733</v>
      </c>
      <c r="O88" s="3" t="s">
        <v>734</v>
      </c>
      <c r="P88" s="3" t="s">
        <v>36</v>
      </c>
      <c r="Q88" s="3" t="s">
        <v>186</v>
      </c>
      <c r="R88" s="5" t="s">
        <v>735</v>
      </c>
      <c r="S88" s="5" t="s">
        <v>736</v>
      </c>
      <c r="T88" s="5" t="s">
        <v>39</v>
      </c>
      <c r="U88" s="5" t="s">
        <v>737</v>
      </c>
      <c r="V88" s="6" t="s">
        <v>738</v>
      </c>
      <c r="W88" s="7" t="s">
        <v>739</v>
      </c>
    </row>
    <row r="89" customFormat="false" ht="27.75" hidden="false" customHeight="true" outlineLevel="0" collapsed="false">
      <c r="A89" s="3" t="s">
        <v>740</v>
      </c>
      <c r="B89" s="3" t="s">
        <v>545</v>
      </c>
      <c r="C89" s="3" t="s">
        <v>546</v>
      </c>
      <c r="D89" s="3" t="s">
        <v>547</v>
      </c>
      <c r="E89" s="3" t="s">
        <v>548</v>
      </c>
      <c r="F89" s="3" t="n">
        <v>27</v>
      </c>
      <c r="G89" s="3" t="s">
        <v>61</v>
      </c>
      <c r="H89" s="3" t="s">
        <v>741</v>
      </c>
      <c r="I89" s="3" t="s">
        <v>74</v>
      </c>
      <c r="J89" s="3" t="s">
        <v>193</v>
      </c>
      <c r="K89" s="3" t="s">
        <v>76</v>
      </c>
      <c r="L89" s="3" t="s">
        <v>184</v>
      </c>
      <c r="M89" s="3" t="s">
        <v>564</v>
      </c>
      <c r="N89" s="3"/>
      <c r="O89" s="3" t="s">
        <v>194</v>
      </c>
      <c r="P89" s="3" t="s">
        <v>91</v>
      </c>
      <c r="Q89" s="4" t="s">
        <v>67</v>
      </c>
      <c r="R89" s="5" t="s">
        <v>742</v>
      </c>
      <c r="S89" s="5" t="s">
        <v>743</v>
      </c>
      <c r="T89" s="5" t="s">
        <v>39</v>
      </c>
      <c r="U89" s="5" t="s">
        <v>744</v>
      </c>
      <c r="V89" s="6" t="s">
        <v>745</v>
      </c>
      <c r="W89" s="7" t="s">
        <v>746</v>
      </c>
    </row>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W89"/>
  <conditionalFormatting sqref="P2:P89">
    <cfRule type="cellIs" priority="2" operator="equal" aboveAverage="0" equalAverage="0" bottom="0" percent="0" rank="0" text="" dxfId="7">
      <formula>"unknown"</formula>
    </cfRule>
  </conditionalFormatting>
  <conditionalFormatting sqref="T2:T89">
    <cfRule type="cellIs" priority="3" operator="equal" aboveAverage="0" equalAverage="0" bottom="0" percent="0" rank="0" text="" dxfId="7">
      <formula>"needs_source"</formula>
    </cfRule>
  </conditionalFormatting>
  <dataValidations count="3">
    <dataValidation allowBlank="true" error="Pick a value from the Control Vocabulary sheet." errorStyle="stop" errorTitle="Control type" operator="between" showDropDown="false" showErrorMessage="true" showInputMessage="false" sqref="P2:P89" type="list">
      <formula1>'Control Vocabulary'!$B$2:$B$7</formula1>
      <formula2>0</formula2>
    </dataValidation>
    <dataValidation allowBlank="true" error="Pick a value from the Control Vocabulary sheet." errorStyle="stop" errorTitle="Necessity" operator="between" showDropDown="false" showErrorMessage="true" showInputMessage="false" sqref="Q2:Q89" type="list">
      <formula1>'Control Vocabulary'!$B$10:$B$12</formula1>
      <formula2>0</formula2>
    </dataValidation>
    <dataValidation allowBlank="true" error="Use source_linked or needs_source." errorStyle="stop" errorTitle="Evidence" operator="between" showDropDown="false" showErrorMessage="true" showInputMessage="false" sqref="T2:T89" type="list">
      <formula1>"source_linked,needs_source"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4.43359375" defaultRowHeight="15" zeroHeight="false" outlineLevelRow="0" outlineLevelCol="0"/>
  <cols>
    <col collapsed="false" customWidth="true" hidden="false" outlineLevel="0" max="1" min="1" style="1" width="20"/>
    <col collapsed="false" customWidth="true" hidden="false" outlineLevel="0" max="2" min="2" style="1" width="38"/>
    <col collapsed="false" customWidth="true" hidden="false" outlineLevel="0" max="3" min="3" style="1" width="13"/>
    <col collapsed="false" customWidth="true" hidden="false" outlineLevel="0" max="4" min="4" style="1" width="16"/>
    <col collapsed="false" customWidth="true" hidden="false" outlineLevel="0" max="5" min="5" style="1" width="28"/>
    <col collapsed="false" customWidth="true" hidden="false" outlineLevel="0" max="6" min="6" style="1" width="8"/>
    <col collapsed="false" customWidth="true" hidden="false" outlineLevel="0" max="7" min="7" style="1" width="12"/>
    <col collapsed="false" customWidth="true" hidden="false" outlineLevel="0" max="8" min="8" style="1" width="28"/>
    <col collapsed="false" customWidth="true" hidden="false" outlineLevel="0" max="26" min="9" style="1" width="8.71"/>
  </cols>
  <sheetData>
    <row r="1" customFormat="false" ht="27.75" hidden="false" customHeight="true" outlineLevel="0" collapsed="false">
      <c r="A1" s="2" t="s">
        <v>1</v>
      </c>
      <c r="B1" s="2" t="s">
        <v>2</v>
      </c>
      <c r="C1" s="2" t="s">
        <v>3</v>
      </c>
      <c r="D1" s="2" t="s">
        <v>4</v>
      </c>
      <c r="E1" s="2" t="s">
        <v>747</v>
      </c>
      <c r="F1" s="2" t="s">
        <v>748</v>
      </c>
      <c r="G1" s="2" t="s">
        <v>749</v>
      </c>
      <c r="H1" s="2" t="s">
        <v>750</v>
      </c>
    </row>
    <row r="2" customFormat="false" ht="15" hidden="false" customHeight="true" outlineLevel="0" collapsed="false">
      <c r="A2" s="3" t="s">
        <v>24</v>
      </c>
      <c r="B2" s="3" t="s">
        <v>25</v>
      </c>
      <c r="C2" s="3" t="s">
        <v>26</v>
      </c>
      <c r="D2" s="3" t="s">
        <v>27</v>
      </c>
      <c r="E2" s="3" t="s">
        <v>751</v>
      </c>
      <c r="F2" s="3" t="n">
        <v>22</v>
      </c>
      <c r="G2" s="3" t="n">
        <v>21</v>
      </c>
      <c r="H2" s="3"/>
    </row>
    <row r="3" customFormat="false" ht="15" hidden="false" customHeight="true" outlineLevel="0" collapsed="false">
      <c r="A3" s="3" t="s">
        <v>226</v>
      </c>
      <c r="B3" s="3" t="s">
        <v>227</v>
      </c>
      <c r="C3" s="3" t="s">
        <v>228</v>
      </c>
      <c r="D3" s="3" t="s">
        <v>229</v>
      </c>
      <c r="E3" s="3" t="s">
        <v>752</v>
      </c>
      <c r="F3" s="3" t="n">
        <v>21</v>
      </c>
      <c r="G3" s="3" t="n">
        <v>20</v>
      </c>
      <c r="H3" s="3"/>
    </row>
    <row r="4" customFormat="false" ht="15" hidden="false" customHeight="true" outlineLevel="0" collapsed="false">
      <c r="A4" s="3" t="s">
        <v>389</v>
      </c>
      <c r="B4" s="3" t="s">
        <v>390</v>
      </c>
      <c r="C4" s="3" t="s">
        <v>391</v>
      </c>
      <c r="D4" s="3" t="s">
        <v>392</v>
      </c>
      <c r="E4" s="3" t="s">
        <v>753</v>
      </c>
      <c r="F4" s="3" t="n">
        <v>19</v>
      </c>
      <c r="G4" s="3" t="n">
        <v>19</v>
      </c>
      <c r="H4" s="3"/>
    </row>
    <row r="5" customFormat="false" ht="15" hidden="false" customHeight="true" outlineLevel="0" collapsed="false">
      <c r="A5" s="3" t="s">
        <v>545</v>
      </c>
      <c r="B5" s="3" t="s">
        <v>546</v>
      </c>
      <c r="C5" s="3" t="s">
        <v>547</v>
      </c>
      <c r="D5" s="3" t="s">
        <v>548</v>
      </c>
      <c r="E5" s="3" t="s">
        <v>754</v>
      </c>
      <c r="F5" s="3" t="n">
        <v>26</v>
      </c>
      <c r="G5" s="3" t="n">
        <v>24</v>
      </c>
      <c r="H5" s="3" t="s">
        <v>755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1" width="20"/>
    <col collapsed="false" customWidth="true" hidden="false" outlineLevel="0" max="2" min="2" style="1" width="38"/>
    <col collapsed="false" customWidth="true" hidden="false" outlineLevel="0" max="3" min="3" style="1" width="16"/>
    <col collapsed="false" customWidth="true" hidden="false" outlineLevel="0" max="6" min="4" style="1" width="10"/>
    <col collapsed="false" customWidth="true" hidden="false" outlineLevel="0" max="17" min="7" style="1" width="19"/>
  </cols>
  <sheetData>
    <row r="1" customFormat="false" ht="33.75" hidden="false" customHeight="true" outlineLevel="0" collapsed="false">
      <c r="A1" s="2" t="s">
        <v>1</v>
      </c>
      <c r="B1" s="2" t="s">
        <v>2</v>
      </c>
      <c r="C1" s="2" t="s">
        <v>4</v>
      </c>
      <c r="D1" s="2" t="s">
        <v>748</v>
      </c>
      <c r="E1" s="2" t="s">
        <v>756</v>
      </c>
      <c r="F1" s="2" t="s">
        <v>757</v>
      </c>
      <c r="G1" s="2" t="s">
        <v>758</v>
      </c>
      <c r="H1" s="2" t="s">
        <v>759</v>
      </c>
      <c r="I1" s="2" t="s">
        <v>760</v>
      </c>
      <c r="J1" s="2" t="s">
        <v>761</v>
      </c>
      <c r="K1" s="2" t="s">
        <v>762</v>
      </c>
      <c r="L1" s="2" t="s">
        <v>763</v>
      </c>
      <c r="M1" s="2" t="s">
        <v>764</v>
      </c>
      <c r="N1" s="2" t="s">
        <v>765</v>
      </c>
      <c r="O1" s="2" t="s">
        <v>766</v>
      </c>
      <c r="P1" s="2" t="s">
        <v>767</v>
      </c>
      <c r="Q1" s="2" t="s">
        <v>768</v>
      </c>
    </row>
    <row r="2" customFormat="false" ht="15" hidden="false" customHeight="true" outlineLevel="0" collapsed="false">
      <c r="A2" s="3" t="s">
        <v>24</v>
      </c>
      <c r="B2" s="3" t="s">
        <v>25</v>
      </c>
      <c r="C2" s="3" t="s">
        <v>27</v>
      </c>
      <c r="D2" s="3" t="n">
        <f aca="false">COUNTIFS(Flows!$B:$B,$A2)</f>
        <v>22</v>
      </c>
      <c r="E2" s="3" t="n">
        <f aca="false">COUNTIFS(Flows!$B:$B,$A2,Flows!$G:$G,"setup")</f>
        <v>4</v>
      </c>
      <c r="F2" s="3" t="n">
        <f aca="false">D2-E2</f>
        <v>18</v>
      </c>
      <c r="G2" s="3" t="n">
        <f aca="false">COUNTIFS(Flows!$B:$B,$A2,Flows!$P:$P,"user_setting")</f>
        <v>5</v>
      </c>
      <c r="H2" s="3" t="n">
        <f aca="false">COUNTIFS(Flows!$B:$B,$A2,Flows!$P:$P,"setup_step")</f>
        <v>5</v>
      </c>
      <c r="I2" s="3" t="n">
        <f aca="false">COUNTIFS(Flows!$B:$B,$A2,Flows!$P:$P,"user_initiated")</f>
        <v>4</v>
      </c>
      <c r="J2" s="3" t="n">
        <f aca="false">COUNTIFS(Flows!$B:$B,$A2,Flows!$P:$P,"external_request")</f>
        <v>5</v>
      </c>
      <c r="K2" s="3" t="n">
        <f aca="false">COUNTIFS(Flows!$B:$B,$A2,Flows!$P:$P,"none_documented")</f>
        <v>3</v>
      </c>
      <c r="L2" s="6" t="n">
        <f aca="false">COUNTIFS(Flows!$B:$B,$A2,Flows!$P:$P,"unknown")</f>
        <v>0</v>
      </c>
      <c r="M2" s="6" t="n">
        <f aca="false">COUNTIFS(Flows!$B:$B,$A2,Flows!$Q:$Q,"optional")</f>
        <v>14</v>
      </c>
      <c r="N2" s="6" t="n">
        <f aca="false">COUNTIFS(Flows!$B:$B,$A2,Flows!$Q:$Q,"required_for_feature")</f>
        <v>3</v>
      </c>
      <c r="O2" s="6" t="n">
        <f aca="false">COUNTIFS(Flows!$B:$B,$A2,Flows!$Q:$Q,"unknown")</f>
        <v>5</v>
      </c>
      <c r="P2" s="6" t="n">
        <f aca="false">COUNTIFS(Flows!$B:$B,$A2,Flows!$T:$T,"source_linked")</f>
        <v>21</v>
      </c>
      <c r="Q2" s="6" t="n">
        <f aca="false">COUNTIFS(Flows!$B:$B,$A2,Flows!$T:$T,"needs_source")</f>
        <v>1</v>
      </c>
    </row>
    <row r="3" customFormat="false" ht="15" hidden="false" customHeight="true" outlineLevel="0" collapsed="false">
      <c r="A3" s="3" t="s">
        <v>226</v>
      </c>
      <c r="B3" s="3" t="s">
        <v>227</v>
      </c>
      <c r="C3" s="3" t="s">
        <v>229</v>
      </c>
      <c r="D3" s="3" t="n">
        <f aca="false">COUNTIFS(Flows!$B:$B,$A3)</f>
        <v>21</v>
      </c>
      <c r="E3" s="3" t="n">
        <f aca="false">COUNTIFS(Flows!$B:$B,$A3,Flows!$G:$G,"setup")</f>
        <v>4</v>
      </c>
      <c r="F3" s="3" t="n">
        <f aca="false">D3-E3</f>
        <v>17</v>
      </c>
      <c r="G3" s="3" t="n">
        <f aca="false">COUNTIFS(Flows!$B:$B,$A3,Flows!$P:$P,"user_setting")</f>
        <v>2</v>
      </c>
      <c r="H3" s="3" t="n">
        <f aca="false">COUNTIFS(Flows!$B:$B,$A3,Flows!$P:$P,"setup_step")</f>
        <v>4</v>
      </c>
      <c r="I3" s="3" t="n">
        <f aca="false">COUNTIFS(Flows!$B:$B,$A3,Flows!$P:$P,"user_initiated")</f>
        <v>6</v>
      </c>
      <c r="J3" s="3" t="n">
        <f aca="false">COUNTIFS(Flows!$B:$B,$A3,Flows!$P:$P,"external_request")</f>
        <v>4</v>
      </c>
      <c r="K3" s="3" t="n">
        <f aca="false">COUNTIFS(Flows!$B:$B,$A3,Flows!$P:$P,"none_documented")</f>
        <v>5</v>
      </c>
      <c r="L3" s="6" t="n">
        <f aca="false">COUNTIFS(Flows!$B:$B,$A3,Flows!$P:$P,"unknown")</f>
        <v>0</v>
      </c>
      <c r="M3" s="6" t="n">
        <f aca="false">COUNTIFS(Flows!$B:$B,$A3,Flows!$Q:$Q,"optional")</f>
        <v>13</v>
      </c>
      <c r="N3" s="6" t="n">
        <f aca="false">COUNTIFS(Flows!$B:$B,$A3,Flows!$Q:$Q,"required_for_feature")</f>
        <v>3</v>
      </c>
      <c r="O3" s="6" t="n">
        <f aca="false">COUNTIFS(Flows!$B:$B,$A3,Flows!$Q:$Q,"unknown")</f>
        <v>5</v>
      </c>
      <c r="P3" s="6" t="n">
        <f aca="false">COUNTIFS(Flows!$B:$B,$A3,Flows!$T:$T,"source_linked")</f>
        <v>20</v>
      </c>
      <c r="Q3" s="6" t="n">
        <f aca="false">COUNTIFS(Flows!$B:$B,$A3,Flows!$T:$T,"needs_source")</f>
        <v>1</v>
      </c>
    </row>
    <row r="4" customFormat="false" ht="15" hidden="false" customHeight="true" outlineLevel="0" collapsed="false">
      <c r="A4" s="3" t="s">
        <v>389</v>
      </c>
      <c r="B4" s="3" t="s">
        <v>390</v>
      </c>
      <c r="C4" s="3" t="s">
        <v>392</v>
      </c>
      <c r="D4" s="3" t="n">
        <f aca="false">COUNTIFS(Flows!$B:$B,$A4)</f>
        <v>19</v>
      </c>
      <c r="E4" s="3" t="n">
        <f aca="false">COUNTIFS(Flows!$B:$B,$A4,Flows!$G:$G,"setup")</f>
        <v>2</v>
      </c>
      <c r="F4" s="3" t="n">
        <f aca="false">D4-E4</f>
        <v>17</v>
      </c>
      <c r="G4" s="3" t="n">
        <f aca="false">COUNTIFS(Flows!$B:$B,$A4,Flows!$P:$P,"user_setting")</f>
        <v>11</v>
      </c>
      <c r="H4" s="3" t="n">
        <f aca="false">COUNTIFS(Flows!$B:$B,$A4,Flows!$P:$P,"setup_step")</f>
        <v>2</v>
      </c>
      <c r="I4" s="3" t="n">
        <f aca="false">COUNTIFS(Flows!$B:$B,$A4,Flows!$P:$P,"user_initiated")</f>
        <v>4</v>
      </c>
      <c r="J4" s="3" t="n">
        <f aca="false">COUNTIFS(Flows!$B:$B,$A4,Flows!$P:$P,"external_request")</f>
        <v>0</v>
      </c>
      <c r="K4" s="3" t="n">
        <f aca="false">COUNTIFS(Flows!$B:$B,$A4,Flows!$P:$P,"none_documented")</f>
        <v>1</v>
      </c>
      <c r="L4" s="6" t="n">
        <f aca="false">COUNTIFS(Flows!$B:$B,$A4,Flows!$P:$P,"unknown")</f>
        <v>1</v>
      </c>
      <c r="M4" s="6" t="n">
        <f aca="false">COUNTIFS(Flows!$B:$B,$A4,Flows!$Q:$Q,"optional")</f>
        <v>15</v>
      </c>
      <c r="N4" s="6" t="n">
        <f aca="false">COUNTIFS(Flows!$B:$B,$A4,Flows!$Q:$Q,"required_for_feature")</f>
        <v>2</v>
      </c>
      <c r="O4" s="6" t="n">
        <f aca="false">COUNTIFS(Flows!$B:$B,$A4,Flows!$Q:$Q,"unknown")</f>
        <v>2</v>
      </c>
      <c r="P4" s="6" t="n">
        <f aca="false">COUNTIFS(Flows!$B:$B,$A4,Flows!$T:$T,"source_linked")</f>
        <v>16</v>
      </c>
      <c r="Q4" s="6" t="n">
        <f aca="false">COUNTIFS(Flows!$B:$B,$A4,Flows!$T:$T,"needs_source")</f>
        <v>3</v>
      </c>
    </row>
    <row r="5" customFormat="false" ht="15" hidden="false" customHeight="true" outlineLevel="0" collapsed="false">
      <c r="A5" s="3" t="s">
        <v>545</v>
      </c>
      <c r="B5" s="3" t="s">
        <v>546</v>
      </c>
      <c r="C5" s="3" t="s">
        <v>548</v>
      </c>
      <c r="D5" s="3" t="n">
        <f aca="false">COUNTIFS(Flows!$B:$B,$A5)</f>
        <v>26</v>
      </c>
      <c r="E5" s="3" t="n">
        <f aca="false">COUNTIFS(Flows!$B:$B,$A5,Flows!$G:$G,"setup")</f>
        <v>5</v>
      </c>
      <c r="F5" s="3" t="n">
        <f aca="false">D5-E5</f>
        <v>21</v>
      </c>
      <c r="G5" s="3" t="n">
        <f aca="false">COUNTIFS(Flows!$B:$B,$A5,Flows!$P:$P,"user_setting")</f>
        <v>18</v>
      </c>
      <c r="H5" s="3" t="n">
        <f aca="false">COUNTIFS(Flows!$B:$B,$A5,Flows!$P:$P,"setup_step")</f>
        <v>4</v>
      </c>
      <c r="I5" s="3" t="n">
        <f aca="false">COUNTIFS(Flows!$B:$B,$A5,Flows!$P:$P,"user_initiated")</f>
        <v>3</v>
      </c>
      <c r="J5" s="3" t="n">
        <f aca="false">COUNTIFS(Flows!$B:$B,$A5,Flows!$P:$P,"external_request")</f>
        <v>0</v>
      </c>
      <c r="K5" s="3" t="n">
        <f aca="false">COUNTIFS(Flows!$B:$B,$A5,Flows!$P:$P,"none_documented")</f>
        <v>1</v>
      </c>
      <c r="L5" s="6" t="n">
        <f aca="false">COUNTIFS(Flows!$B:$B,$A5,Flows!$P:$P,"unknown")</f>
        <v>0</v>
      </c>
      <c r="M5" s="6" t="n">
        <f aca="false">COUNTIFS(Flows!$B:$B,$A5,Flows!$Q:$Q,"optional")</f>
        <v>20</v>
      </c>
      <c r="N5" s="6" t="n">
        <f aca="false">COUNTIFS(Flows!$B:$B,$A5,Flows!$Q:$Q,"required_for_feature")</f>
        <v>4</v>
      </c>
      <c r="O5" s="6" t="n">
        <f aca="false">COUNTIFS(Flows!$B:$B,$A5,Flows!$Q:$Q,"unknown")</f>
        <v>2</v>
      </c>
      <c r="P5" s="6" t="n">
        <f aca="false">COUNTIFS(Flows!$B:$B,$A5,Flows!$T:$T,"source_linked")</f>
        <v>23</v>
      </c>
      <c r="Q5" s="6" t="n">
        <f aca="false">COUNTIFS(Flows!$B:$B,$A5,Flows!$T:$T,"needs_source")</f>
        <v>3</v>
      </c>
    </row>
    <row r="6" customFormat="false" ht="15" hidden="false" customHeight="true" outlineLevel="0" collapsed="false">
      <c r="A6" s="8" t="s">
        <v>769</v>
      </c>
      <c r="B6" s="8"/>
      <c r="C6" s="8"/>
      <c r="D6" s="8" t="n">
        <f aca="false">SUM(D2:D5)</f>
        <v>88</v>
      </c>
      <c r="E6" s="8" t="n">
        <f aca="false">SUM(E2:E5)</f>
        <v>15</v>
      </c>
      <c r="F6" s="8" t="n">
        <f aca="false">SUM(F2:F5)</f>
        <v>73</v>
      </c>
      <c r="G6" s="8" t="n">
        <f aca="false">SUM(G2:G5)</f>
        <v>36</v>
      </c>
      <c r="H6" s="8" t="n">
        <f aca="false">SUM(H2:H5)</f>
        <v>15</v>
      </c>
      <c r="I6" s="8" t="n">
        <f aca="false">SUM(I2:I5)</f>
        <v>17</v>
      </c>
      <c r="J6" s="8" t="n">
        <f aca="false">SUM(J2:J5)</f>
        <v>9</v>
      </c>
      <c r="K6" s="8" t="n">
        <f aca="false">SUM(K2:K5)</f>
        <v>10</v>
      </c>
      <c r="L6" s="9" t="n">
        <f aca="false">SUM(L2:L5)</f>
        <v>1</v>
      </c>
      <c r="M6" s="9" t="n">
        <f aca="false">SUM(M2:M5)</f>
        <v>62</v>
      </c>
      <c r="N6" s="9" t="n">
        <f aca="false">SUM(N2:N5)</f>
        <v>12</v>
      </c>
      <c r="O6" s="9" t="n">
        <f aca="false">SUM(O2:O5)</f>
        <v>14</v>
      </c>
      <c r="P6" s="9" t="n">
        <f aca="false">SUM(P2:P5)</f>
        <v>80</v>
      </c>
      <c r="Q6" s="9" t="n">
        <f aca="false">SUM(Q2:Q5)</f>
        <v>8</v>
      </c>
    </row>
    <row r="7" customFormat="false" ht="15" hidden="false" customHeight="true" outlineLevel="0" collapsed="false"/>
    <row r="8" customFormat="false" ht="15" hidden="false" customHeight="true" outlineLevel="0" collapsed="false">
      <c r="A8" s="10" t="s">
        <v>770</v>
      </c>
      <c r="G8" s="11" t="n">
        <f aca="false">SUM(G6:L6)-D6</f>
        <v>0</v>
      </c>
      <c r="M8" s="11" t="n">
        <f aca="false">SUM(M6:O6)-D6</f>
        <v>0</v>
      </c>
      <c r="P8" s="11" t="n">
        <f aca="false">SUM(P6:Q6)-D6</f>
        <v>0</v>
      </c>
    </row>
    <row r="9" customFormat="false" ht="15" hidden="false" customHeight="true" outlineLevel="0" collapsed="false">
      <c r="A9" s="12" t="s">
        <v>771</v>
      </c>
    </row>
    <row r="1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22"/>
    <col collapsed="false" customWidth="true" hidden="false" outlineLevel="0" max="3" min="3" style="1" width="28"/>
    <col collapsed="false" customWidth="true" hidden="false" outlineLevel="0" max="4" min="4" style="1" width="14"/>
    <col collapsed="false" customWidth="true" hidden="false" outlineLevel="0" max="5" min="5" style="1" width="24"/>
    <col collapsed="false" customWidth="true" hidden="false" outlineLevel="0" max="6" min="6" style="1" width="18"/>
    <col collapsed="false" customWidth="true" hidden="false" outlineLevel="0" max="7" min="7" style="1" width="28"/>
    <col collapsed="false" customWidth="true" hidden="false" outlineLevel="0" max="8" min="8" style="1" width="8"/>
    <col collapsed="false" customWidth="true" hidden="false" outlineLevel="0" max="9" min="9" style="1" width="10"/>
    <col collapsed="false" customWidth="true" hidden="false" outlineLevel="0" max="10" min="10" style="1" width="60"/>
    <col collapsed="false" customWidth="true" hidden="false" outlineLevel="0" max="26" min="11" style="1" width="8.71"/>
  </cols>
  <sheetData>
    <row r="1" customFormat="false" ht="27.75" hidden="false" customHeight="true" outlineLevel="0" collapsed="false">
      <c r="A1" s="2" t="s">
        <v>14</v>
      </c>
      <c r="B1" s="2" t="s">
        <v>8</v>
      </c>
      <c r="C1" s="2" t="s">
        <v>9</v>
      </c>
      <c r="D1" s="2" t="s">
        <v>10</v>
      </c>
      <c r="E1" s="2" t="s">
        <v>11</v>
      </c>
      <c r="F1" s="2" t="s">
        <v>12</v>
      </c>
      <c r="G1" s="2" t="s">
        <v>13</v>
      </c>
      <c r="H1" s="2" t="s">
        <v>748</v>
      </c>
      <c r="I1" s="2" t="s">
        <v>772</v>
      </c>
      <c r="J1" s="2" t="s">
        <v>773</v>
      </c>
    </row>
    <row r="2" customFormat="false" ht="27.75" hidden="false" customHeight="true" outlineLevel="0" collapsed="false">
      <c r="A2" s="3" t="s">
        <v>35</v>
      </c>
      <c r="B2" s="3" t="s">
        <v>727</v>
      </c>
      <c r="C2" s="3" t="s">
        <v>774</v>
      </c>
      <c r="D2" s="3" t="s">
        <v>32</v>
      </c>
      <c r="E2" s="3" t="s">
        <v>33</v>
      </c>
      <c r="F2" s="3" t="s">
        <v>34</v>
      </c>
      <c r="G2" s="3"/>
      <c r="H2" s="3" t="n">
        <v>6</v>
      </c>
      <c r="I2" s="3" t="n">
        <v>4</v>
      </c>
      <c r="J2" s="3" t="s">
        <v>775</v>
      </c>
    </row>
    <row r="3" customFormat="false" ht="15" hidden="false" customHeight="true" outlineLevel="0" collapsed="false">
      <c r="A3" s="3" t="s">
        <v>48</v>
      </c>
      <c r="B3" s="3" t="s">
        <v>45</v>
      </c>
      <c r="C3" s="3" t="s">
        <v>774</v>
      </c>
      <c r="D3" s="3" t="s">
        <v>32</v>
      </c>
      <c r="E3" s="3" t="s">
        <v>33</v>
      </c>
      <c r="F3" s="3" t="s">
        <v>776</v>
      </c>
      <c r="G3" s="3"/>
      <c r="H3" s="3" t="n">
        <v>6</v>
      </c>
      <c r="I3" s="3" t="n">
        <v>4</v>
      </c>
      <c r="J3" s="3" t="s">
        <v>775</v>
      </c>
    </row>
    <row r="4" customFormat="false" ht="27.75" hidden="false" customHeight="true" outlineLevel="0" collapsed="false">
      <c r="A4" s="3" t="s">
        <v>185</v>
      </c>
      <c r="B4" s="3" t="s">
        <v>727</v>
      </c>
      <c r="C4" s="3" t="s">
        <v>183</v>
      </c>
      <c r="D4" s="3" t="s">
        <v>76</v>
      </c>
      <c r="E4" s="3" t="s">
        <v>184</v>
      </c>
      <c r="F4" s="3" t="s">
        <v>776</v>
      </c>
      <c r="G4" s="3"/>
      <c r="H4" s="3" t="n">
        <v>5</v>
      </c>
      <c r="I4" s="3" t="n">
        <v>3</v>
      </c>
      <c r="J4" s="3" t="s">
        <v>777</v>
      </c>
    </row>
    <row r="5" customFormat="false" ht="27.75" hidden="false" customHeight="true" outlineLevel="0" collapsed="false">
      <c r="A5" s="3" t="s">
        <v>105</v>
      </c>
      <c r="B5" s="3" t="s">
        <v>778</v>
      </c>
      <c r="C5" s="3" t="s">
        <v>774</v>
      </c>
      <c r="D5" s="3" t="s">
        <v>32</v>
      </c>
      <c r="E5" s="3" t="s">
        <v>77</v>
      </c>
      <c r="F5" s="3" t="s">
        <v>34</v>
      </c>
      <c r="G5" s="3"/>
      <c r="H5" s="3" t="n">
        <v>3</v>
      </c>
      <c r="I5" s="3" t="n">
        <v>3</v>
      </c>
      <c r="J5" s="3" t="s">
        <v>779</v>
      </c>
    </row>
    <row r="6" customFormat="false" ht="15" hidden="false" customHeight="true" outlineLevel="0" collapsed="false">
      <c r="A6" s="3" t="s">
        <v>194</v>
      </c>
      <c r="B6" s="3" t="s">
        <v>74</v>
      </c>
      <c r="C6" s="3" t="s">
        <v>780</v>
      </c>
      <c r="D6" s="3" t="s">
        <v>76</v>
      </c>
      <c r="E6" s="3" t="s">
        <v>184</v>
      </c>
      <c r="F6" s="3" t="s">
        <v>776</v>
      </c>
      <c r="G6" s="3"/>
      <c r="H6" s="3" t="n">
        <v>3</v>
      </c>
      <c r="I6" s="3" t="n">
        <v>3</v>
      </c>
      <c r="J6" s="3" t="s">
        <v>779</v>
      </c>
    </row>
    <row r="7" customFormat="false" ht="27.75" hidden="false" customHeight="true" outlineLevel="0" collapsed="false">
      <c r="A7" s="3" t="s">
        <v>166</v>
      </c>
      <c r="B7" s="3" t="s">
        <v>727</v>
      </c>
      <c r="C7" s="3" t="s">
        <v>774</v>
      </c>
      <c r="D7" s="3" t="s">
        <v>32</v>
      </c>
      <c r="E7" s="3" t="s">
        <v>781</v>
      </c>
      <c r="F7" s="3" t="s">
        <v>34</v>
      </c>
      <c r="G7" s="3"/>
      <c r="H7" s="3" t="n">
        <v>2</v>
      </c>
      <c r="I7" s="3" t="n">
        <v>2</v>
      </c>
      <c r="J7" s="3" t="s">
        <v>782</v>
      </c>
    </row>
    <row r="8" customFormat="false" ht="27.75" hidden="false" customHeight="true" outlineLevel="0" collapsed="false">
      <c r="A8" s="3" t="s">
        <v>174</v>
      </c>
      <c r="B8" s="3" t="s">
        <v>727</v>
      </c>
      <c r="C8" s="3" t="s">
        <v>774</v>
      </c>
      <c r="D8" s="3" t="s">
        <v>32</v>
      </c>
      <c r="E8" s="3" t="s">
        <v>33</v>
      </c>
      <c r="F8" s="3" t="s">
        <v>776</v>
      </c>
      <c r="G8" s="3"/>
      <c r="H8" s="3" t="n">
        <v>2</v>
      </c>
      <c r="I8" s="3" t="n">
        <v>2</v>
      </c>
      <c r="J8" s="3" t="s">
        <v>782</v>
      </c>
    </row>
    <row r="9" customFormat="false" ht="27.75" hidden="false" customHeight="true" outlineLevel="0" collapsed="false">
      <c r="A9" s="3" t="s">
        <v>343</v>
      </c>
      <c r="B9" s="3" t="s">
        <v>727</v>
      </c>
      <c r="C9" s="3" t="s">
        <v>774</v>
      </c>
      <c r="D9" s="3" t="s">
        <v>76</v>
      </c>
      <c r="E9" s="3" t="s">
        <v>184</v>
      </c>
      <c r="F9" s="3" t="s">
        <v>776</v>
      </c>
      <c r="G9" s="3"/>
      <c r="H9" s="3" t="n">
        <v>2</v>
      </c>
      <c r="I9" s="3" t="n">
        <v>2</v>
      </c>
      <c r="J9" s="3" t="s">
        <v>783</v>
      </c>
    </row>
    <row r="10" customFormat="false" ht="27.75" hidden="false" customHeight="true" outlineLevel="0" collapsed="false">
      <c r="A10" s="3" t="s">
        <v>206</v>
      </c>
      <c r="B10" s="3" t="s">
        <v>45</v>
      </c>
      <c r="C10" s="3" t="s">
        <v>183</v>
      </c>
      <c r="D10" s="3" t="s">
        <v>76</v>
      </c>
      <c r="E10" s="3" t="s">
        <v>184</v>
      </c>
      <c r="F10" s="3" t="s">
        <v>776</v>
      </c>
      <c r="G10" s="3"/>
      <c r="H10" s="3" t="n">
        <v>2</v>
      </c>
      <c r="I10" s="3" t="n">
        <v>2</v>
      </c>
      <c r="J10" s="3" t="s">
        <v>782</v>
      </c>
    </row>
    <row r="11" customFormat="false" ht="15" hidden="false" customHeight="true" outlineLevel="0" collapsed="false">
      <c r="A11" s="3" t="s">
        <v>213</v>
      </c>
      <c r="B11" s="3" t="s">
        <v>212</v>
      </c>
      <c r="C11" s="3" t="s">
        <v>774</v>
      </c>
      <c r="D11" s="3" t="s">
        <v>32</v>
      </c>
      <c r="E11" s="3" t="s">
        <v>33</v>
      </c>
      <c r="F11" s="3" t="s">
        <v>776</v>
      </c>
      <c r="G11" s="3"/>
      <c r="H11" s="3" t="n">
        <v>2</v>
      </c>
      <c r="I11" s="3" t="n">
        <v>2</v>
      </c>
      <c r="J11" s="3" t="s">
        <v>782</v>
      </c>
    </row>
    <row r="12" customFormat="false" ht="15" hidden="false" customHeight="true" outlineLevel="0" collapsed="false">
      <c r="A12" s="3" t="s">
        <v>385</v>
      </c>
      <c r="B12" s="3" t="s">
        <v>74</v>
      </c>
      <c r="C12" s="3" t="s">
        <v>780</v>
      </c>
      <c r="D12" s="3" t="s">
        <v>384</v>
      </c>
      <c r="E12" s="3" t="s">
        <v>114</v>
      </c>
      <c r="F12" s="3" t="s">
        <v>776</v>
      </c>
      <c r="G12" s="3"/>
      <c r="H12" s="3" t="n">
        <v>2</v>
      </c>
      <c r="I12" s="3" t="n">
        <v>2</v>
      </c>
      <c r="J12" s="3" t="s">
        <v>784</v>
      </c>
    </row>
    <row r="13" customFormat="false" ht="27.75" hidden="false" customHeight="true" outlineLevel="0" collapsed="false">
      <c r="A13" s="3" t="s">
        <v>597</v>
      </c>
      <c r="B13" s="3" t="s">
        <v>778</v>
      </c>
      <c r="C13" s="3" t="s">
        <v>572</v>
      </c>
      <c r="D13" s="3" t="s">
        <v>384</v>
      </c>
      <c r="E13" s="3" t="s">
        <v>114</v>
      </c>
      <c r="F13" s="3" t="s">
        <v>34</v>
      </c>
      <c r="G13" s="3" t="s">
        <v>452</v>
      </c>
      <c r="H13" s="3" t="n">
        <v>4</v>
      </c>
      <c r="I13" s="3" t="n">
        <v>1</v>
      </c>
      <c r="J13" s="3" t="s">
        <v>545</v>
      </c>
    </row>
    <row r="14" customFormat="false" ht="27.75" hidden="false" customHeight="true" outlineLevel="0" collapsed="false">
      <c r="A14" s="3" t="s">
        <v>574</v>
      </c>
      <c r="B14" s="3" t="s">
        <v>785</v>
      </c>
      <c r="C14" s="3" t="s">
        <v>572</v>
      </c>
      <c r="D14" s="3" t="s">
        <v>32</v>
      </c>
      <c r="E14" s="3" t="s">
        <v>77</v>
      </c>
      <c r="F14" s="3" t="s">
        <v>34</v>
      </c>
      <c r="G14" s="3"/>
      <c r="H14" s="3" t="n">
        <v>2</v>
      </c>
      <c r="I14" s="3" t="n">
        <v>1</v>
      </c>
      <c r="J14" s="3" t="s">
        <v>545</v>
      </c>
    </row>
    <row r="15" customFormat="false" ht="27.75" hidden="false" customHeight="true" outlineLevel="0" collapsed="false">
      <c r="A15" s="3" t="s">
        <v>632</v>
      </c>
      <c r="B15" s="3" t="s">
        <v>785</v>
      </c>
      <c r="C15" s="3" t="s">
        <v>572</v>
      </c>
      <c r="D15" s="3" t="s">
        <v>113</v>
      </c>
      <c r="E15" s="3" t="s">
        <v>114</v>
      </c>
      <c r="F15" s="3" t="s">
        <v>34</v>
      </c>
      <c r="G15" s="3"/>
      <c r="H15" s="3" t="n">
        <v>2</v>
      </c>
      <c r="I15" s="3" t="n">
        <v>1</v>
      </c>
      <c r="J15" s="3" t="s">
        <v>545</v>
      </c>
    </row>
    <row r="16" customFormat="false" ht="27.75" hidden="false" customHeight="true" outlineLevel="0" collapsed="false">
      <c r="A16" s="3" t="s">
        <v>647</v>
      </c>
      <c r="B16" s="3" t="s">
        <v>785</v>
      </c>
      <c r="C16" s="3" t="s">
        <v>572</v>
      </c>
      <c r="D16" s="3" t="s">
        <v>76</v>
      </c>
      <c r="E16" s="3" t="s">
        <v>184</v>
      </c>
      <c r="F16" s="3" t="s">
        <v>34</v>
      </c>
      <c r="G16" s="3"/>
      <c r="H16" s="3" t="n">
        <v>2</v>
      </c>
      <c r="I16" s="3" t="n">
        <v>1</v>
      </c>
      <c r="J16" s="3" t="s">
        <v>545</v>
      </c>
    </row>
    <row r="17" customFormat="false" ht="15" hidden="false" customHeight="true" outlineLevel="0" collapsed="false">
      <c r="A17" s="3" t="s">
        <v>660</v>
      </c>
      <c r="B17" s="3" t="s">
        <v>785</v>
      </c>
      <c r="C17" s="3" t="s">
        <v>774</v>
      </c>
      <c r="D17" s="3" t="s">
        <v>76</v>
      </c>
      <c r="E17" s="3" t="s">
        <v>184</v>
      </c>
      <c r="F17" s="3" t="s">
        <v>776</v>
      </c>
      <c r="G17" s="3"/>
      <c r="H17" s="3" t="n">
        <v>2</v>
      </c>
      <c r="I17" s="3" t="n">
        <v>1</v>
      </c>
      <c r="J17" s="3" t="s">
        <v>545</v>
      </c>
    </row>
    <row r="18" customFormat="false" ht="27.75" hidden="false" customHeight="true" outlineLevel="0" collapsed="false">
      <c r="A18" s="3" t="s">
        <v>139</v>
      </c>
      <c r="B18" s="3" t="s">
        <v>727</v>
      </c>
      <c r="C18" s="3" t="s">
        <v>774</v>
      </c>
      <c r="D18" s="3" t="s">
        <v>76</v>
      </c>
      <c r="E18" s="3" t="s">
        <v>33</v>
      </c>
      <c r="F18" s="3" t="s">
        <v>34</v>
      </c>
      <c r="G18" s="3"/>
      <c r="H18" s="3" t="n">
        <v>2</v>
      </c>
      <c r="I18" s="3" t="n">
        <v>1</v>
      </c>
      <c r="J18" s="3" t="s">
        <v>24</v>
      </c>
    </row>
    <row r="19" customFormat="false" ht="27.75" hidden="false" customHeight="true" outlineLevel="0" collapsed="false">
      <c r="A19" s="3" t="s">
        <v>90</v>
      </c>
      <c r="B19" s="3" t="s">
        <v>778</v>
      </c>
      <c r="C19" s="3" t="s">
        <v>774</v>
      </c>
      <c r="D19" s="3" t="s">
        <v>32</v>
      </c>
      <c r="E19" s="3" t="s">
        <v>155</v>
      </c>
      <c r="F19" s="3" t="s">
        <v>34</v>
      </c>
      <c r="G19" s="3"/>
      <c r="H19" s="3" t="n">
        <v>2</v>
      </c>
      <c r="I19" s="3" t="n">
        <v>1</v>
      </c>
      <c r="J19" s="3" t="s">
        <v>24</v>
      </c>
    </row>
    <row r="20" customFormat="false" ht="27.75" hidden="false" customHeight="true" outlineLevel="0" collapsed="false">
      <c r="A20" s="3" t="s">
        <v>115</v>
      </c>
      <c r="B20" s="3" t="s">
        <v>778</v>
      </c>
      <c r="C20" s="3" t="s">
        <v>786</v>
      </c>
      <c r="D20" s="3" t="s">
        <v>113</v>
      </c>
      <c r="E20" s="3" t="s">
        <v>114</v>
      </c>
      <c r="F20" s="3" t="s">
        <v>34</v>
      </c>
      <c r="G20" s="3"/>
      <c r="H20" s="3" t="n">
        <v>2</v>
      </c>
      <c r="I20" s="3" t="n">
        <v>1</v>
      </c>
      <c r="J20" s="3" t="s">
        <v>24</v>
      </c>
    </row>
    <row r="21" customFormat="false" ht="15.75" hidden="false" customHeight="true" outlineLevel="0" collapsed="false">
      <c r="A21" s="3" t="s">
        <v>65</v>
      </c>
      <c r="B21" s="3" t="s">
        <v>785</v>
      </c>
      <c r="C21" s="3" t="s">
        <v>183</v>
      </c>
      <c r="D21" s="3" t="s">
        <v>32</v>
      </c>
      <c r="E21" s="3" t="s">
        <v>33</v>
      </c>
      <c r="F21" s="3" t="s">
        <v>776</v>
      </c>
      <c r="G21" s="3"/>
      <c r="H21" s="3" t="n">
        <v>1</v>
      </c>
      <c r="I21" s="3" t="n">
        <v>1</v>
      </c>
      <c r="J21" s="3" t="s">
        <v>24</v>
      </c>
    </row>
    <row r="22" customFormat="false" ht="15.75" hidden="false" customHeight="true" outlineLevel="0" collapsed="false">
      <c r="A22" s="3" t="s">
        <v>129</v>
      </c>
      <c r="B22" s="3" t="s">
        <v>785</v>
      </c>
      <c r="C22" s="3" t="s">
        <v>774</v>
      </c>
      <c r="D22" s="3" t="s">
        <v>113</v>
      </c>
      <c r="E22" s="3" t="s">
        <v>155</v>
      </c>
      <c r="F22" s="3" t="s">
        <v>34</v>
      </c>
      <c r="G22" s="3" t="s">
        <v>128</v>
      </c>
      <c r="H22" s="3" t="n">
        <v>1</v>
      </c>
      <c r="I22" s="3" t="n">
        <v>1</v>
      </c>
      <c r="J22" s="3" t="s">
        <v>24</v>
      </c>
    </row>
    <row r="23" customFormat="false" ht="15.75" hidden="false" customHeight="true" outlineLevel="0" collapsed="false">
      <c r="A23" s="3" t="s">
        <v>326</v>
      </c>
      <c r="B23" s="3" t="s">
        <v>785</v>
      </c>
      <c r="C23" s="3" t="s">
        <v>774</v>
      </c>
      <c r="D23" s="3" t="s">
        <v>32</v>
      </c>
      <c r="E23" s="3" t="s">
        <v>33</v>
      </c>
      <c r="F23" s="3" t="s">
        <v>776</v>
      </c>
      <c r="G23" s="3"/>
      <c r="H23" s="3" t="n">
        <v>1</v>
      </c>
      <c r="I23" s="3" t="n">
        <v>1</v>
      </c>
      <c r="J23" s="3" t="s">
        <v>226</v>
      </c>
    </row>
    <row r="24" customFormat="false" ht="15.75" hidden="false" customHeight="true" outlineLevel="0" collapsed="false">
      <c r="A24" s="3" t="s">
        <v>418</v>
      </c>
      <c r="B24" s="3" t="s">
        <v>785</v>
      </c>
      <c r="C24" s="3" t="s">
        <v>774</v>
      </c>
      <c r="D24" s="3" t="s">
        <v>32</v>
      </c>
      <c r="E24" s="3" t="s">
        <v>33</v>
      </c>
      <c r="F24" s="3" t="s">
        <v>34</v>
      </c>
      <c r="G24" s="3"/>
      <c r="H24" s="3" t="n">
        <v>1</v>
      </c>
      <c r="I24" s="3" t="n">
        <v>1</v>
      </c>
      <c r="J24" s="3" t="s">
        <v>389</v>
      </c>
    </row>
    <row r="25" customFormat="false" ht="15.75" hidden="false" customHeight="true" outlineLevel="0" collapsed="false">
      <c r="A25" s="3" t="s">
        <v>427</v>
      </c>
      <c r="B25" s="3" t="s">
        <v>785</v>
      </c>
      <c r="C25" s="3" t="s">
        <v>774</v>
      </c>
      <c r="D25" s="3" t="s">
        <v>76</v>
      </c>
      <c r="E25" s="3" t="s">
        <v>77</v>
      </c>
      <c r="F25" s="3" t="s">
        <v>776</v>
      </c>
      <c r="G25" s="3"/>
      <c r="H25" s="3" t="n">
        <v>1</v>
      </c>
      <c r="I25" s="3" t="n">
        <v>1</v>
      </c>
      <c r="J25" s="3" t="s">
        <v>389</v>
      </c>
    </row>
    <row r="26" customFormat="false" ht="15.75" hidden="false" customHeight="true" outlineLevel="0" collapsed="false">
      <c r="A26" s="3" t="s">
        <v>436</v>
      </c>
      <c r="B26" s="3" t="s">
        <v>785</v>
      </c>
      <c r="C26" s="3" t="s">
        <v>774</v>
      </c>
      <c r="D26" s="3" t="s">
        <v>384</v>
      </c>
      <c r="E26" s="3" t="s">
        <v>114</v>
      </c>
      <c r="F26" s="3" t="s">
        <v>776</v>
      </c>
      <c r="G26" s="3"/>
      <c r="H26" s="3" t="n">
        <v>1</v>
      </c>
      <c r="I26" s="3" t="n">
        <v>1</v>
      </c>
      <c r="J26" s="3" t="s">
        <v>389</v>
      </c>
    </row>
    <row r="27" customFormat="false" ht="15.75" hidden="false" customHeight="true" outlineLevel="0" collapsed="false">
      <c r="A27" s="3" t="s">
        <v>453</v>
      </c>
      <c r="B27" s="3" t="s">
        <v>785</v>
      </c>
      <c r="C27" s="3" t="s">
        <v>780</v>
      </c>
      <c r="D27" s="3" t="s">
        <v>384</v>
      </c>
      <c r="E27" s="3" t="s">
        <v>114</v>
      </c>
      <c r="F27" s="3" t="s">
        <v>34</v>
      </c>
      <c r="G27" s="3" t="s">
        <v>452</v>
      </c>
      <c r="H27" s="3" t="n">
        <v>1</v>
      </c>
      <c r="I27" s="3" t="n">
        <v>1</v>
      </c>
      <c r="J27" s="3" t="s">
        <v>389</v>
      </c>
    </row>
    <row r="28" customFormat="false" ht="15.75" hidden="false" customHeight="true" outlineLevel="0" collapsed="false">
      <c r="A28" s="3" t="s">
        <v>534</v>
      </c>
      <c r="B28" s="3" t="s">
        <v>785</v>
      </c>
      <c r="C28" s="3" t="s">
        <v>774</v>
      </c>
      <c r="D28" s="3" t="s">
        <v>76</v>
      </c>
      <c r="E28" s="3" t="s">
        <v>33</v>
      </c>
      <c r="F28" s="3" t="s">
        <v>787</v>
      </c>
      <c r="G28" s="3"/>
      <c r="H28" s="3" t="n">
        <v>1</v>
      </c>
      <c r="I28" s="3" t="n">
        <v>1</v>
      </c>
      <c r="J28" s="3" t="s">
        <v>389</v>
      </c>
    </row>
    <row r="29" customFormat="false" ht="15.75" hidden="false" customHeight="true" outlineLevel="0" collapsed="false">
      <c r="A29" s="3" t="s">
        <v>673</v>
      </c>
      <c r="B29" s="3" t="s">
        <v>785</v>
      </c>
      <c r="C29" s="3" t="s">
        <v>774</v>
      </c>
      <c r="D29" s="3" t="s">
        <v>32</v>
      </c>
      <c r="E29" s="3" t="s">
        <v>274</v>
      </c>
      <c r="F29" s="3" t="s">
        <v>34</v>
      </c>
      <c r="G29" s="3"/>
      <c r="H29" s="3" t="n">
        <v>1</v>
      </c>
      <c r="I29" s="3" t="n">
        <v>1</v>
      </c>
      <c r="J29" s="3" t="s">
        <v>545</v>
      </c>
    </row>
    <row r="30" customFormat="false" ht="15.75" hidden="false" customHeight="true" outlineLevel="0" collapsed="false">
      <c r="A30" s="3" t="s">
        <v>683</v>
      </c>
      <c r="B30" s="3" t="s">
        <v>785</v>
      </c>
      <c r="C30" s="3" t="s">
        <v>774</v>
      </c>
      <c r="D30" s="3" t="s">
        <v>76</v>
      </c>
      <c r="E30" s="3" t="s">
        <v>184</v>
      </c>
      <c r="F30" s="3" t="s">
        <v>776</v>
      </c>
      <c r="G30" s="3" t="s">
        <v>265</v>
      </c>
      <c r="H30" s="3" t="n">
        <v>1</v>
      </c>
      <c r="I30" s="3" t="n">
        <v>1</v>
      </c>
      <c r="J30" s="3" t="s">
        <v>545</v>
      </c>
    </row>
    <row r="31" customFormat="false" ht="15.75" hidden="false" customHeight="true" outlineLevel="0" collapsed="false">
      <c r="A31" s="3" t="s">
        <v>711</v>
      </c>
      <c r="B31" s="3" t="s">
        <v>785</v>
      </c>
      <c r="C31" s="3" t="s">
        <v>774</v>
      </c>
      <c r="D31" s="3" t="s">
        <v>76</v>
      </c>
      <c r="E31" s="3" t="s">
        <v>184</v>
      </c>
      <c r="F31" s="3" t="s">
        <v>787</v>
      </c>
      <c r="G31" s="3"/>
      <c r="H31" s="3" t="n">
        <v>1</v>
      </c>
      <c r="I31" s="3" t="n">
        <v>1</v>
      </c>
      <c r="J31" s="3" t="s">
        <v>545</v>
      </c>
    </row>
    <row r="32" customFormat="false" ht="15.75" hidden="false" customHeight="true" outlineLevel="0" collapsed="false">
      <c r="A32" s="3" t="s">
        <v>157</v>
      </c>
      <c r="B32" s="3" t="s">
        <v>727</v>
      </c>
      <c r="C32" s="3" t="s">
        <v>774</v>
      </c>
      <c r="D32" s="3" t="s">
        <v>76</v>
      </c>
      <c r="E32" s="3" t="s">
        <v>155</v>
      </c>
      <c r="F32" s="3" t="s">
        <v>787</v>
      </c>
      <c r="G32" s="3"/>
      <c r="H32" s="3" t="n">
        <v>1</v>
      </c>
      <c r="I32" s="3" t="n">
        <v>1</v>
      </c>
      <c r="J32" s="3" t="s">
        <v>24</v>
      </c>
    </row>
    <row r="33" customFormat="false" ht="15.75" hidden="false" customHeight="true" outlineLevel="0" collapsed="false">
      <c r="A33" s="3" t="s">
        <v>357</v>
      </c>
      <c r="B33" s="3" t="s">
        <v>727</v>
      </c>
      <c r="C33" s="3" t="s">
        <v>774</v>
      </c>
      <c r="D33" s="3" t="s">
        <v>76</v>
      </c>
      <c r="E33" s="3" t="s">
        <v>184</v>
      </c>
      <c r="F33" s="3" t="s">
        <v>787</v>
      </c>
      <c r="G33" s="3"/>
      <c r="H33" s="3" t="n">
        <v>1</v>
      </c>
      <c r="I33" s="3" t="n">
        <v>1</v>
      </c>
      <c r="J33" s="3" t="s">
        <v>226</v>
      </c>
    </row>
    <row r="34" customFormat="false" ht="15.75" hidden="false" customHeight="true" outlineLevel="0" collapsed="false">
      <c r="A34" s="3" t="s">
        <v>501</v>
      </c>
      <c r="B34" s="3" t="s">
        <v>727</v>
      </c>
      <c r="C34" s="3" t="s">
        <v>75</v>
      </c>
      <c r="D34" s="3" t="s">
        <v>32</v>
      </c>
      <c r="E34" s="3" t="s">
        <v>77</v>
      </c>
      <c r="F34" s="3" t="s">
        <v>776</v>
      </c>
      <c r="G34" s="3"/>
      <c r="H34" s="3" t="n">
        <v>1</v>
      </c>
      <c r="I34" s="3" t="n">
        <v>1</v>
      </c>
      <c r="J34" s="3" t="s">
        <v>389</v>
      </c>
    </row>
    <row r="35" customFormat="false" ht="15.75" hidden="false" customHeight="true" outlineLevel="0" collapsed="false">
      <c r="A35" s="3" t="s">
        <v>518</v>
      </c>
      <c r="B35" s="3" t="s">
        <v>727</v>
      </c>
      <c r="C35" s="3" t="s">
        <v>774</v>
      </c>
      <c r="D35" s="3" t="s">
        <v>32</v>
      </c>
      <c r="E35" s="3" t="s">
        <v>77</v>
      </c>
      <c r="F35" s="3" t="s">
        <v>34</v>
      </c>
      <c r="G35" s="3"/>
      <c r="H35" s="3" t="n">
        <v>1</v>
      </c>
      <c r="I35" s="3" t="n">
        <v>1</v>
      </c>
      <c r="J35" s="3" t="s">
        <v>389</v>
      </c>
    </row>
    <row r="36" customFormat="false" ht="15.75" hidden="false" customHeight="true" outlineLevel="0" collapsed="false">
      <c r="A36" s="3" t="s">
        <v>525</v>
      </c>
      <c r="B36" s="3" t="s">
        <v>727</v>
      </c>
      <c r="C36" s="3" t="s">
        <v>75</v>
      </c>
      <c r="D36" s="3" t="s">
        <v>113</v>
      </c>
      <c r="E36" s="3" t="s">
        <v>114</v>
      </c>
      <c r="F36" s="3" t="s">
        <v>776</v>
      </c>
      <c r="G36" s="3"/>
      <c r="H36" s="3" t="n">
        <v>1</v>
      </c>
      <c r="I36" s="3" t="n">
        <v>1</v>
      </c>
      <c r="J36" s="3" t="s">
        <v>389</v>
      </c>
    </row>
    <row r="37" customFormat="false" ht="15.75" hidden="false" customHeight="true" outlineLevel="0" collapsed="false">
      <c r="A37" s="3" t="s">
        <v>734</v>
      </c>
      <c r="B37" s="3" t="s">
        <v>727</v>
      </c>
      <c r="C37" s="3" t="s">
        <v>774</v>
      </c>
      <c r="D37" s="3" t="s">
        <v>32</v>
      </c>
      <c r="E37" s="3" t="s">
        <v>77</v>
      </c>
      <c r="F37" s="3" t="s">
        <v>34</v>
      </c>
      <c r="G37" s="3" t="s">
        <v>733</v>
      </c>
      <c r="H37" s="3" t="n">
        <v>1</v>
      </c>
      <c r="I37" s="3" t="n">
        <v>1</v>
      </c>
      <c r="J37" s="3" t="s">
        <v>545</v>
      </c>
    </row>
    <row r="38" customFormat="false" ht="15.75" hidden="false" customHeight="true" outlineLevel="0" collapsed="false">
      <c r="A38" s="3" t="s">
        <v>281</v>
      </c>
      <c r="B38" s="3" t="s">
        <v>45</v>
      </c>
      <c r="C38" s="3" t="s">
        <v>774</v>
      </c>
      <c r="D38" s="3" t="s">
        <v>113</v>
      </c>
      <c r="E38" s="3" t="s">
        <v>274</v>
      </c>
      <c r="F38" s="3" t="s">
        <v>34</v>
      </c>
      <c r="G38" s="3"/>
      <c r="H38" s="3" t="n">
        <v>1</v>
      </c>
      <c r="I38" s="3" t="n">
        <v>1</v>
      </c>
      <c r="J38" s="3" t="s">
        <v>226</v>
      </c>
    </row>
    <row r="39" customFormat="false" ht="15.75" hidden="false" customHeight="true" outlineLevel="0" collapsed="false">
      <c r="A39" s="3" t="s">
        <v>377</v>
      </c>
      <c r="B39" s="3" t="s">
        <v>45</v>
      </c>
      <c r="C39" s="3" t="s">
        <v>774</v>
      </c>
      <c r="D39" s="3" t="s">
        <v>76</v>
      </c>
      <c r="E39" s="3" t="s">
        <v>184</v>
      </c>
      <c r="F39" s="3" t="s">
        <v>34</v>
      </c>
      <c r="G39" s="3"/>
      <c r="H39" s="3" t="n">
        <v>1</v>
      </c>
      <c r="I39" s="3" t="n">
        <v>1</v>
      </c>
      <c r="J39" s="3" t="s">
        <v>226</v>
      </c>
    </row>
    <row r="40" customFormat="false" ht="15.75" hidden="false" customHeight="true" outlineLevel="0" collapsed="false">
      <c r="A40" s="3" t="s">
        <v>719</v>
      </c>
      <c r="B40" s="3" t="s">
        <v>45</v>
      </c>
      <c r="C40" s="3" t="s">
        <v>774</v>
      </c>
      <c r="D40" s="3" t="s">
        <v>76</v>
      </c>
      <c r="E40" s="3" t="s">
        <v>184</v>
      </c>
      <c r="F40" s="3" t="s">
        <v>776</v>
      </c>
      <c r="G40" s="3"/>
      <c r="H40" s="3" t="n">
        <v>1</v>
      </c>
      <c r="I40" s="3" t="n">
        <v>1</v>
      </c>
      <c r="J40" s="3" t="s">
        <v>545</v>
      </c>
    </row>
    <row r="41" customFormat="false" ht="15.75" hidden="false" customHeight="true" outlineLevel="0" collapsed="false">
      <c r="A41" s="3" t="s">
        <v>220</v>
      </c>
      <c r="B41" s="3" t="s">
        <v>212</v>
      </c>
      <c r="C41" s="3" t="s">
        <v>75</v>
      </c>
      <c r="D41" s="3" t="s">
        <v>32</v>
      </c>
      <c r="E41" s="3" t="s">
        <v>77</v>
      </c>
      <c r="F41" s="3" t="s">
        <v>776</v>
      </c>
      <c r="G41" s="3"/>
      <c r="H41" s="3" t="n">
        <v>1</v>
      </c>
      <c r="I41" s="3" t="n">
        <v>1</v>
      </c>
      <c r="J41" s="3" t="s">
        <v>24</v>
      </c>
    </row>
    <row r="42" customFormat="false" ht="15.75" hidden="false" customHeight="true" outlineLevel="0" collapsed="false">
      <c r="A42" s="3" t="s">
        <v>302</v>
      </c>
      <c r="B42" s="3" t="s">
        <v>212</v>
      </c>
      <c r="C42" s="3" t="s">
        <v>774</v>
      </c>
      <c r="D42" s="3" t="s">
        <v>32</v>
      </c>
      <c r="E42" s="3" t="s">
        <v>77</v>
      </c>
      <c r="F42" s="3" t="s">
        <v>776</v>
      </c>
      <c r="G42" s="3"/>
      <c r="H42" s="3" t="n">
        <v>1</v>
      </c>
      <c r="I42" s="3" t="n">
        <v>1</v>
      </c>
      <c r="J42" s="3" t="s">
        <v>226</v>
      </c>
    </row>
    <row r="43" customFormat="false" ht="15.75" hidden="false" customHeight="true" outlineLevel="0" collapsed="false">
      <c r="A43" s="3" t="s">
        <v>311</v>
      </c>
      <c r="B43" s="3" t="s">
        <v>212</v>
      </c>
      <c r="C43" s="3" t="s">
        <v>774</v>
      </c>
      <c r="D43" s="3" t="s">
        <v>113</v>
      </c>
      <c r="E43" s="3" t="s">
        <v>114</v>
      </c>
      <c r="F43" s="3" t="s">
        <v>776</v>
      </c>
      <c r="G43" s="3"/>
      <c r="H43" s="3" t="n">
        <v>1</v>
      </c>
      <c r="I43" s="3" t="n">
        <v>1</v>
      </c>
      <c r="J43" s="3" t="s">
        <v>226</v>
      </c>
    </row>
    <row r="44" customFormat="false" ht="15.75" hidden="false" customHeight="true" outlineLevel="0" collapsed="false">
      <c r="A44" s="3" t="s">
        <v>508</v>
      </c>
      <c r="B44" s="3" t="s">
        <v>212</v>
      </c>
      <c r="C44" s="3" t="s">
        <v>75</v>
      </c>
      <c r="D44" s="3" t="s">
        <v>384</v>
      </c>
      <c r="E44" s="3" t="s">
        <v>114</v>
      </c>
      <c r="F44" s="3" t="s">
        <v>776</v>
      </c>
      <c r="G44" s="3"/>
      <c r="H44" s="3" t="n">
        <v>1</v>
      </c>
      <c r="I44" s="3" t="n">
        <v>1</v>
      </c>
      <c r="J44" s="3" t="s">
        <v>389</v>
      </c>
    </row>
    <row r="45" customFormat="false" ht="15.75" hidden="false" customHeight="true" outlineLevel="0" collapsed="false">
      <c r="A45" s="3" t="s">
        <v>249</v>
      </c>
      <c r="B45" s="3" t="s">
        <v>788</v>
      </c>
      <c r="C45" s="3" t="s">
        <v>774</v>
      </c>
      <c r="D45" s="3" t="s">
        <v>32</v>
      </c>
      <c r="E45" s="3" t="s">
        <v>33</v>
      </c>
      <c r="F45" s="3" t="s">
        <v>776</v>
      </c>
      <c r="G45" s="3"/>
      <c r="H45" s="3" t="n">
        <v>1</v>
      </c>
      <c r="I45" s="3" t="n">
        <v>1</v>
      </c>
      <c r="J45" s="3" t="s">
        <v>226</v>
      </c>
    </row>
    <row r="46" customFormat="false" ht="15.75" hidden="false" customHeight="true" outlineLevel="0" collapsed="false">
      <c r="A46" s="3" t="s">
        <v>471</v>
      </c>
      <c r="B46" s="3" t="s">
        <v>788</v>
      </c>
      <c r="C46" s="3" t="s">
        <v>780</v>
      </c>
      <c r="D46" s="3" t="s">
        <v>384</v>
      </c>
      <c r="E46" s="3" t="s">
        <v>114</v>
      </c>
      <c r="F46" s="3" t="s">
        <v>776</v>
      </c>
      <c r="G46" s="3"/>
      <c r="H46" s="3" t="n">
        <v>1</v>
      </c>
      <c r="I46" s="3" t="n">
        <v>1</v>
      </c>
      <c r="J46" s="3" t="s">
        <v>389</v>
      </c>
    </row>
    <row r="47" customFormat="false" ht="15.75" hidden="false" customHeight="true" outlineLevel="0" collapsed="false">
      <c r="A47" s="3" t="s">
        <v>483</v>
      </c>
      <c r="B47" s="3" t="s">
        <v>788</v>
      </c>
      <c r="C47" s="3" t="s">
        <v>75</v>
      </c>
      <c r="D47" s="3" t="s">
        <v>113</v>
      </c>
      <c r="E47" s="3" t="s">
        <v>114</v>
      </c>
      <c r="F47" s="3" t="s">
        <v>776</v>
      </c>
      <c r="G47" s="3"/>
      <c r="H47" s="3" t="n">
        <v>1</v>
      </c>
      <c r="I47" s="3" t="n">
        <v>1</v>
      </c>
      <c r="J47" s="3" t="s">
        <v>389</v>
      </c>
    </row>
    <row r="48" customFormat="false" ht="15.75" hidden="false" customHeight="true" outlineLevel="0" collapsed="false">
      <c r="A48" s="3" t="s">
        <v>624</v>
      </c>
      <c r="B48" s="3" t="s">
        <v>778</v>
      </c>
      <c r="C48" s="3" t="s">
        <v>572</v>
      </c>
      <c r="D48" s="3" t="s">
        <v>113</v>
      </c>
      <c r="E48" s="3" t="s">
        <v>114</v>
      </c>
      <c r="F48" s="3" t="s">
        <v>34</v>
      </c>
      <c r="G48" s="3"/>
      <c r="H48" s="3" t="n">
        <v>1</v>
      </c>
      <c r="I48" s="3" t="n">
        <v>1</v>
      </c>
      <c r="J48" s="3" t="s">
        <v>545</v>
      </c>
    </row>
    <row r="49" customFormat="false" ht="15.75" hidden="false" customHeight="true" outlineLevel="0" collapsed="false">
      <c r="A49" s="3" t="s">
        <v>693</v>
      </c>
      <c r="B49" s="3" t="s">
        <v>778</v>
      </c>
      <c r="C49" s="3" t="s">
        <v>789</v>
      </c>
      <c r="D49" s="3" t="s">
        <v>76</v>
      </c>
      <c r="E49" s="3" t="s">
        <v>184</v>
      </c>
      <c r="F49" s="3" t="s">
        <v>776</v>
      </c>
      <c r="G49" s="3"/>
      <c r="H49" s="3" t="n">
        <v>1</v>
      </c>
      <c r="I49" s="3" t="n">
        <v>1</v>
      </c>
      <c r="J49" s="3" t="s">
        <v>545</v>
      </c>
    </row>
    <row r="50" customFormat="false" ht="15.75" hidden="false" customHeight="true" outlineLevel="0" collapsed="false">
      <c r="A50" s="3" t="s">
        <v>702</v>
      </c>
      <c r="B50" s="3" t="s">
        <v>778</v>
      </c>
      <c r="C50" s="3" t="s">
        <v>789</v>
      </c>
      <c r="D50" s="3" t="s">
        <v>76</v>
      </c>
      <c r="E50" s="3" t="s">
        <v>184</v>
      </c>
      <c r="F50" s="3" t="s">
        <v>787</v>
      </c>
      <c r="G50" s="3"/>
      <c r="H50" s="3" t="n">
        <v>1</v>
      </c>
      <c r="I50" s="3" t="n">
        <v>1</v>
      </c>
      <c r="J50" s="3" t="s">
        <v>545</v>
      </c>
    </row>
    <row r="51" customFormat="false" ht="15.75" hidden="false" customHeight="true" outlineLevel="0" collapsed="false">
      <c r="A51" s="3" t="s">
        <v>79</v>
      </c>
      <c r="B51" s="3" t="s">
        <v>74</v>
      </c>
      <c r="C51" s="3" t="s">
        <v>75</v>
      </c>
      <c r="D51" s="3" t="s">
        <v>76</v>
      </c>
      <c r="E51" s="3" t="s">
        <v>77</v>
      </c>
      <c r="F51" s="3" t="s">
        <v>787</v>
      </c>
      <c r="G51" s="3"/>
      <c r="H51" s="3" t="n">
        <v>1</v>
      </c>
      <c r="I51" s="3" t="n">
        <v>1</v>
      </c>
      <c r="J51" s="3" t="s">
        <v>24</v>
      </c>
    </row>
    <row r="52" customFormat="false" ht="15.75" hidden="false" customHeight="true" outlineLevel="0" collapsed="false">
      <c r="A52" s="3" t="s">
        <v>258</v>
      </c>
      <c r="B52" s="3" t="s">
        <v>74</v>
      </c>
      <c r="C52" s="3" t="s">
        <v>774</v>
      </c>
      <c r="D52" s="3" t="s">
        <v>32</v>
      </c>
      <c r="E52" s="3" t="s">
        <v>77</v>
      </c>
      <c r="F52" s="3" t="s">
        <v>34</v>
      </c>
      <c r="G52" s="3"/>
      <c r="H52" s="3" t="n">
        <v>1</v>
      </c>
      <c r="I52" s="3" t="n">
        <v>1</v>
      </c>
      <c r="J52" s="3" t="s">
        <v>226</v>
      </c>
    </row>
    <row r="53" customFormat="false" ht="15.75" hidden="false" customHeight="true" outlineLevel="0" collapsed="false">
      <c r="A53" s="3" t="s">
        <v>266</v>
      </c>
      <c r="B53" s="3" t="s">
        <v>74</v>
      </c>
      <c r="C53" s="3" t="s">
        <v>774</v>
      </c>
      <c r="D53" s="3" t="s">
        <v>76</v>
      </c>
      <c r="E53" s="3" t="s">
        <v>184</v>
      </c>
      <c r="F53" s="3" t="s">
        <v>776</v>
      </c>
      <c r="G53" s="3" t="s">
        <v>265</v>
      </c>
      <c r="H53" s="3" t="n">
        <v>1</v>
      </c>
      <c r="I53" s="3" t="n">
        <v>1</v>
      </c>
      <c r="J53" s="3" t="s">
        <v>226</v>
      </c>
    </row>
    <row r="54" customFormat="false" ht="15.75" hidden="false" customHeight="true" outlineLevel="0" collapsed="false">
      <c r="A54" s="3" t="s">
        <v>275</v>
      </c>
      <c r="B54" s="3" t="s">
        <v>74</v>
      </c>
      <c r="C54" s="3" t="s">
        <v>774</v>
      </c>
      <c r="D54" s="3" t="s">
        <v>113</v>
      </c>
      <c r="E54" s="3" t="s">
        <v>274</v>
      </c>
      <c r="F54" s="3" t="s">
        <v>34</v>
      </c>
      <c r="G54" s="3"/>
      <c r="H54" s="3" t="n">
        <v>1</v>
      </c>
      <c r="I54" s="3" t="n">
        <v>1</v>
      </c>
      <c r="J54" s="3" t="s">
        <v>226</v>
      </c>
    </row>
    <row r="55" customFormat="false" ht="15.75" hidden="false" customHeight="true" outlineLevel="0" collapsed="false">
      <c r="A55" s="3" t="s">
        <v>492</v>
      </c>
      <c r="B55" s="3" t="s">
        <v>74</v>
      </c>
      <c r="C55" s="3" t="s">
        <v>75</v>
      </c>
      <c r="D55" s="3" t="s">
        <v>76</v>
      </c>
      <c r="E55" s="3" t="s">
        <v>274</v>
      </c>
      <c r="F55" s="3" t="s">
        <v>787</v>
      </c>
      <c r="G55" s="3"/>
      <c r="H55" s="3" t="n">
        <v>1</v>
      </c>
      <c r="I55" s="3" t="n">
        <v>1</v>
      </c>
      <c r="J55" s="3" t="s">
        <v>389</v>
      </c>
    </row>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J55"/>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4.433593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3" min="3" style="1" width="30"/>
    <col collapsed="false" customWidth="true" hidden="false" outlineLevel="0" max="4" min="4" style="1" width="80"/>
    <col collapsed="false" customWidth="true" hidden="false" outlineLevel="0" max="5" min="5" style="1" width="70"/>
    <col collapsed="false" customWidth="true" hidden="false" outlineLevel="0" max="26" min="6" style="1" width="14"/>
  </cols>
  <sheetData>
    <row r="1" customFormat="false" ht="15" hidden="false" customHeight="true" outlineLevel="0" collapsed="false">
      <c r="A1" s="2" t="s">
        <v>790</v>
      </c>
      <c r="B1" s="2" t="s">
        <v>1</v>
      </c>
      <c r="C1" s="2" t="s">
        <v>2</v>
      </c>
      <c r="D1" s="2" t="s">
        <v>791</v>
      </c>
      <c r="E1" s="2" t="s">
        <v>792</v>
      </c>
      <c r="F1" s="2" t="s">
        <v>793</v>
      </c>
    </row>
    <row r="2" customFormat="false" ht="15" hidden="false" customHeight="true" outlineLevel="0" collapsed="false">
      <c r="A2" s="3" t="s">
        <v>794</v>
      </c>
      <c r="B2" s="3" t="s">
        <v>24</v>
      </c>
      <c r="C2" s="3" t="s">
        <v>25</v>
      </c>
      <c r="D2" s="3" t="s">
        <v>795</v>
      </c>
      <c r="E2" s="3" t="s">
        <v>796</v>
      </c>
      <c r="F2" s="3" t="s">
        <v>797</v>
      </c>
    </row>
    <row r="3" customFormat="false" ht="54.75" hidden="false" customHeight="true" outlineLevel="0" collapsed="false">
      <c r="A3" s="3" t="s">
        <v>69</v>
      </c>
      <c r="B3" s="3" t="s">
        <v>24</v>
      </c>
      <c r="C3" s="3" t="s">
        <v>25</v>
      </c>
      <c r="D3" s="3" t="s">
        <v>798</v>
      </c>
      <c r="E3" s="3" t="s">
        <v>799</v>
      </c>
      <c r="F3" s="3" t="s">
        <v>797</v>
      </c>
    </row>
    <row r="4" customFormat="false" ht="15" hidden="false" customHeight="true" outlineLevel="0" collapsed="false">
      <c r="A4" s="3" t="s">
        <v>57</v>
      </c>
      <c r="B4" s="3" t="s">
        <v>24</v>
      </c>
      <c r="C4" s="3" t="s">
        <v>25</v>
      </c>
      <c r="D4" s="3" t="s">
        <v>800</v>
      </c>
      <c r="E4" s="3" t="s">
        <v>801</v>
      </c>
      <c r="F4" s="3" t="s">
        <v>797</v>
      </c>
    </row>
    <row r="5" customFormat="false" ht="15" hidden="false" customHeight="true" outlineLevel="0" collapsed="false">
      <c r="A5" s="3" t="s">
        <v>802</v>
      </c>
      <c r="B5" s="3" t="s">
        <v>24</v>
      </c>
      <c r="C5" s="3" t="s">
        <v>25</v>
      </c>
      <c r="D5" s="3" t="s">
        <v>803</v>
      </c>
      <c r="E5" s="3" t="s">
        <v>804</v>
      </c>
      <c r="F5" s="3" t="s">
        <v>797</v>
      </c>
    </row>
    <row r="6" customFormat="false" ht="68.25" hidden="false" customHeight="true" outlineLevel="0" collapsed="false">
      <c r="A6" s="3" t="s">
        <v>141</v>
      </c>
      <c r="B6" s="3" t="s">
        <v>24</v>
      </c>
      <c r="C6" s="3" t="s">
        <v>25</v>
      </c>
      <c r="D6" s="3" t="s">
        <v>805</v>
      </c>
      <c r="E6" s="3" t="s">
        <v>806</v>
      </c>
      <c r="F6" s="3" t="s">
        <v>797</v>
      </c>
    </row>
    <row r="7" customFormat="false" ht="27.75" hidden="false" customHeight="true" outlineLevel="0" collapsed="false">
      <c r="A7" s="5" t="s">
        <v>807</v>
      </c>
      <c r="B7" s="3" t="s">
        <v>24</v>
      </c>
      <c r="C7" s="3" t="s">
        <v>25</v>
      </c>
      <c r="D7" s="5" t="s">
        <v>808</v>
      </c>
      <c r="E7" s="5" t="s">
        <v>809</v>
      </c>
      <c r="F7" s="5" t="s">
        <v>797</v>
      </c>
    </row>
    <row r="8" customFormat="false" ht="15" hidden="false" customHeight="true" outlineLevel="0" collapsed="false">
      <c r="A8" s="5" t="s">
        <v>810</v>
      </c>
      <c r="B8" s="3" t="s">
        <v>24</v>
      </c>
      <c r="C8" s="3" t="s">
        <v>25</v>
      </c>
      <c r="D8" s="5" t="s">
        <v>811</v>
      </c>
      <c r="E8" s="5" t="s">
        <v>812</v>
      </c>
      <c r="F8" s="5" t="s">
        <v>797</v>
      </c>
    </row>
    <row r="9" customFormat="false" ht="27.75" hidden="false" customHeight="true" outlineLevel="0" collapsed="false">
      <c r="A9" s="5" t="s">
        <v>813</v>
      </c>
      <c r="B9" s="3" t="s">
        <v>24</v>
      </c>
      <c r="C9" s="3" t="s">
        <v>25</v>
      </c>
      <c r="D9" s="5" t="s">
        <v>814</v>
      </c>
      <c r="E9" s="5" t="s">
        <v>815</v>
      </c>
      <c r="F9" s="5" t="s">
        <v>816</v>
      </c>
    </row>
    <row r="10" customFormat="false" ht="15" hidden="false" customHeight="true" outlineLevel="0" collapsed="false">
      <c r="A10" s="5" t="s">
        <v>817</v>
      </c>
      <c r="B10" s="3" t="s">
        <v>24</v>
      </c>
      <c r="C10" s="3" t="s">
        <v>25</v>
      </c>
      <c r="D10" s="5" t="s">
        <v>818</v>
      </c>
      <c r="E10" s="5" t="s">
        <v>819</v>
      </c>
      <c r="F10" s="5" t="s">
        <v>816</v>
      </c>
    </row>
    <row r="11" customFormat="false" ht="15" hidden="false" customHeight="true" outlineLevel="0" collapsed="false">
      <c r="A11" s="3" t="s">
        <v>820</v>
      </c>
      <c r="B11" s="3" t="s">
        <v>226</v>
      </c>
      <c r="C11" s="3" t="s">
        <v>227</v>
      </c>
      <c r="D11" s="3" t="s">
        <v>821</v>
      </c>
      <c r="E11" s="3" t="s">
        <v>822</v>
      </c>
      <c r="F11" s="3" t="s">
        <v>797</v>
      </c>
    </row>
    <row r="12" customFormat="false" ht="15" hidden="false" customHeight="true" outlineLevel="0" collapsed="false">
      <c r="A12" s="3" t="s">
        <v>823</v>
      </c>
      <c r="B12" s="3" t="s">
        <v>226</v>
      </c>
      <c r="C12" s="3" t="s">
        <v>227</v>
      </c>
      <c r="D12" s="3" t="s">
        <v>824</v>
      </c>
      <c r="E12" s="3" t="s">
        <v>825</v>
      </c>
      <c r="F12" s="3" t="s">
        <v>797</v>
      </c>
    </row>
    <row r="13" customFormat="false" ht="27.75" hidden="false" customHeight="true" outlineLevel="0" collapsed="false">
      <c r="A13" s="3" t="s">
        <v>826</v>
      </c>
      <c r="B13" s="3" t="s">
        <v>226</v>
      </c>
      <c r="C13" s="3" t="s">
        <v>227</v>
      </c>
      <c r="D13" s="3" t="s">
        <v>827</v>
      </c>
      <c r="E13" s="3" t="s">
        <v>828</v>
      </c>
      <c r="F13" s="3" t="s">
        <v>797</v>
      </c>
    </row>
    <row r="14" customFormat="false" ht="41.25" hidden="false" customHeight="true" outlineLevel="0" collapsed="false">
      <c r="A14" s="3" t="s">
        <v>829</v>
      </c>
      <c r="B14" s="3" t="s">
        <v>226</v>
      </c>
      <c r="C14" s="3" t="s">
        <v>227</v>
      </c>
      <c r="D14" s="3" t="s">
        <v>830</v>
      </c>
      <c r="E14" s="3" t="s">
        <v>831</v>
      </c>
      <c r="F14" s="3" t="s">
        <v>797</v>
      </c>
    </row>
    <row r="15" customFormat="false" ht="27.75" hidden="false" customHeight="true" outlineLevel="0" collapsed="false">
      <c r="A15" s="3" t="s">
        <v>832</v>
      </c>
      <c r="B15" s="3" t="s">
        <v>226</v>
      </c>
      <c r="C15" s="3" t="s">
        <v>227</v>
      </c>
      <c r="D15" s="3" t="s">
        <v>833</v>
      </c>
      <c r="E15" s="3" t="s">
        <v>834</v>
      </c>
      <c r="F15" s="3" t="s">
        <v>797</v>
      </c>
    </row>
    <row r="16" customFormat="false" ht="15" hidden="false" customHeight="true" outlineLevel="0" collapsed="false">
      <c r="A16" s="3" t="s">
        <v>329</v>
      </c>
      <c r="B16" s="3" t="s">
        <v>226</v>
      </c>
      <c r="C16" s="3" t="s">
        <v>227</v>
      </c>
      <c r="D16" s="3" t="s">
        <v>835</v>
      </c>
      <c r="E16" s="3" t="s">
        <v>836</v>
      </c>
      <c r="F16" s="3" t="s">
        <v>797</v>
      </c>
    </row>
    <row r="17" customFormat="false" ht="15" hidden="false" customHeight="true" outlineLevel="0" collapsed="false">
      <c r="A17" s="5" t="s">
        <v>837</v>
      </c>
      <c r="B17" s="3" t="s">
        <v>226</v>
      </c>
      <c r="C17" s="3" t="s">
        <v>227</v>
      </c>
      <c r="D17" s="5" t="s">
        <v>838</v>
      </c>
      <c r="E17" s="5" t="s">
        <v>839</v>
      </c>
      <c r="F17" s="5" t="s">
        <v>797</v>
      </c>
    </row>
    <row r="18" customFormat="false" ht="15" hidden="false" customHeight="true" outlineLevel="0" collapsed="false">
      <c r="A18" s="5" t="s">
        <v>840</v>
      </c>
      <c r="B18" s="3" t="s">
        <v>226</v>
      </c>
      <c r="C18" s="3" t="s">
        <v>227</v>
      </c>
      <c r="D18" s="5" t="s">
        <v>841</v>
      </c>
      <c r="E18" s="5" t="s">
        <v>842</v>
      </c>
      <c r="F18" s="5" t="s">
        <v>797</v>
      </c>
    </row>
    <row r="19" customFormat="false" ht="28.35" hidden="false" customHeight="false" outlineLevel="0" collapsed="false">
      <c r="A19" s="5" t="s">
        <v>843</v>
      </c>
      <c r="B19" s="3" t="s">
        <v>226</v>
      </c>
      <c r="C19" s="3" t="s">
        <v>227</v>
      </c>
      <c r="D19" s="5" t="s">
        <v>844</v>
      </c>
      <c r="E19" s="5" t="s">
        <v>845</v>
      </c>
      <c r="F19" s="5" t="s">
        <v>797</v>
      </c>
    </row>
    <row r="20" customFormat="false" ht="28.35" hidden="false" customHeight="false" outlineLevel="0" collapsed="false">
      <c r="A20" s="5" t="s">
        <v>846</v>
      </c>
      <c r="B20" s="3" t="s">
        <v>226</v>
      </c>
      <c r="C20" s="3" t="s">
        <v>227</v>
      </c>
      <c r="D20" s="5" t="s">
        <v>847</v>
      </c>
      <c r="E20" s="5" t="s">
        <v>848</v>
      </c>
      <c r="F20" s="5" t="s">
        <v>797</v>
      </c>
    </row>
    <row r="21" customFormat="false" ht="15.75" hidden="false" customHeight="true" outlineLevel="0" collapsed="false">
      <c r="A21" s="5" t="s">
        <v>849</v>
      </c>
      <c r="B21" s="3" t="s">
        <v>226</v>
      </c>
      <c r="C21" s="3" t="s">
        <v>227</v>
      </c>
      <c r="D21" s="5" t="s">
        <v>850</v>
      </c>
      <c r="E21" s="5" t="s">
        <v>851</v>
      </c>
      <c r="F21" s="5" t="s">
        <v>797</v>
      </c>
    </row>
    <row r="22" customFormat="false" ht="15.75" hidden="false" customHeight="true" outlineLevel="0" collapsed="false">
      <c r="A22" s="5" t="s">
        <v>852</v>
      </c>
      <c r="B22" s="3" t="s">
        <v>226</v>
      </c>
      <c r="C22" s="3" t="s">
        <v>227</v>
      </c>
      <c r="D22" s="5" t="s">
        <v>853</v>
      </c>
      <c r="E22" s="5" t="s">
        <v>854</v>
      </c>
      <c r="F22" s="5" t="s">
        <v>797</v>
      </c>
    </row>
    <row r="23" customFormat="false" ht="15.75" hidden="false" customHeight="true" outlineLevel="0" collapsed="false">
      <c r="A23" s="5" t="s">
        <v>855</v>
      </c>
      <c r="B23" s="3" t="s">
        <v>226</v>
      </c>
      <c r="C23" s="3" t="s">
        <v>227</v>
      </c>
      <c r="D23" s="5" t="s">
        <v>856</v>
      </c>
      <c r="E23" s="5" t="s">
        <v>857</v>
      </c>
      <c r="F23" s="5" t="s">
        <v>797</v>
      </c>
    </row>
    <row r="24" customFormat="false" ht="15.75" hidden="false" customHeight="true" outlineLevel="0" collapsed="false">
      <c r="A24" s="5" t="s">
        <v>858</v>
      </c>
      <c r="B24" s="3" t="s">
        <v>226</v>
      </c>
      <c r="C24" s="3" t="s">
        <v>227</v>
      </c>
      <c r="D24" s="5" t="s">
        <v>859</v>
      </c>
      <c r="E24" s="5" t="s">
        <v>860</v>
      </c>
      <c r="F24" s="5" t="s">
        <v>797</v>
      </c>
    </row>
    <row r="25" customFormat="false" ht="15.75" hidden="false" customHeight="true" outlineLevel="0" collapsed="false">
      <c r="A25" s="5" t="s">
        <v>861</v>
      </c>
      <c r="B25" s="3" t="s">
        <v>226</v>
      </c>
      <c r="C25" s="3" t="s">
        <v>227</v>
      </c>
      <c r="D25" s="5" t="s">
        <v>862</v>
      </c>
      <c r="E25" s="5" t="s">
        <v>863</v>
      </c>
      <c r="F25" s="5" t="s">
        <v>797</v>
      </c>
    </row>
    <row r="26" customFormat="false" ht="15.75" hidden="false" customHeight="true" outlineLevel="0" collapsed="false">
      <c r="A26" s="5" t="s">
        <v>864</v>
      </c>
      <c r="B26" s="3" t="s">
        <v>226</v>
      </c>
      <c r="C26" s="3" t="s">
        <v>227</v>
      </c>
      <c r="D26" s="5" t="s">
        <v>865</v>
      </c>
      <c r="E26" s="5" t="s">
        <v>866</v>
      </c>
      <c r="F26" s="5" t="s">
        <v>816</v>
      </c>
    </row>
    <row r="27" customFormat="false" ht="15.75" hidden="false" customHeight="true" outlineLevel="0" collapsed="false">
      <c r="A27" s="5" t="s">
        <v>867</v>
      </c>
      <c r="B27" s="3" t="s">
        <v>226</v>
      </c>
      <c r="C27" s="3" t="s">
        <v>227</v>
      </c>
      <c r="D27" s="5" t="s">
        <v>868</v>
      </c>
      <c r="E27" s="5" t="s">
        <v>869</v>
      </c>
      <c r="F27" s="5" t="s">
        <v>816</v>
      </c>
    </row>
    <row r="28" customFormat="false" ht="15.75" hidden="false" customHeight="true" outlineLevel="0" collapsed="false">
      <c r="A28" s="5" t="s">
        <v>870</v>
      </c>
      <c r="B28" s="3" t="s">
        <v>226</v>
      </c>
      <c r="C28" s="3" t="s">
        <v>227</v>
      </c>
      <c r="D28" s="5" t="s">
        <v>871</v>
      </c>
      <c r="E28" s="5" t="s">
        <v>872</v>
      </c>
      <c r="F28" s="5" t="s">
        <v>816</v>
      </c>
    </row>
    <row r="29" customFormat="false" ht="15.75" hidden="false" customHeight="true" outlineLevel="0" collapsed="false">
      <c r="A29" s="5" t="s">
        <v>873</v>
      </c>
      <c r="B29" s="3" t="s">
        <v>226</v>
      </c>
      <c r="C29" s="3" t="s">
        <v>227</v>
      </c>
      <c r="D29" s="5" t="s">
        <v>874</v>
      </c>
      <c r="E29" s="5" t="s">
        <v>875</v>
      </c>
      <c r="F29" s="5" t="s">
        <v>797</v>
      </c>
    </row>
    <row r="30" customFormat="false" ht="15.75" hidden="false" customHeight="true" outlineLevel="0" collapsed="false">
      <c r="A30" s="5" t="s">
        <v>876</v>
      </c>
      <c r="B30" s="3" t="s">
        <v>226</v>
      </c>
      <c r="C30" s="3" t="s">
        <v>227</v>
      </c>
      <c r="D30" s="5" t="s">
        <v>877</v>
      </c>
      <c r="E30" s="5" t="s">
        <v>878</v>
      </c>
      <c r="F30" s="5" t="s">
        <v>797</v>
      </c>
    </row>
    <row r="31" customFormat="false" ht="15.75" hidden="false" customHeight="true" outlineLevel="0" collapsed="false">
      <c r="A31" s="5" t="s">
        <v>879</v>
      </c>
      <c r="B31" s="3" t="s">
        <v>226</v>
      </c>
      <c r="C31" s="3" t="s">
        <v>227</v>
      </c>
      <c r="D31" s="5" t="s">
        <v>880</v>
      </c>
      <c r="E31" s="5" t="s">
        <v>881</v>
      </c>
      <c r="F31" s="5" t="s">
        <v>797</v>
      </c>
    </row>
    <row r="32" customFormat="false" ht="15.75" hidden="false" customHeight="true" outlineLevel="0" collapsed="false">
      <c r="A32" s="5" t="s">
        <v>882</v>
      </c>
      <c r="B32" s="3" t="s">
        <v>226</v>
      </c>
      <c r="C32" s="3" t="s">
        <v>227</v>
      </c>
      <c r="D32" s="5" t="s">
        <v>883</v>
      </c>
      <c r="E32" s="5" t="s">
        <v>884</v>
      </c>
      <c r="F32" s="5" t="s">
        <v>816</v>
      </c>
    </row>
    <row r="33" customFormat="false" ht="15.75" hidden="false" customHeight="true" outlineLevel="0" collapsed="false">
      <c r="A33" s="5" t="s">
        <v>885</v>
      </c>
      <c r="B33" s="3" t="s">
        <v>226</v>
      </c>
      <c r="C33" s="3" t="s">
        <v>227</v>
      </c>
      <c r="D33" s="5" t="s">
        <v>886</v>
      </c>
      <c r="E33" s="5" t="s">
        <v>887</v>
      </c>
      <c r="F33" s="5" t="s">
        <v>816</v>
      </c>
    </row>
    <row r="34" customFormat="false" ht="15.75" hidden="false" customHeight="true" outlineLevel="0" collapsed="false">
      <c r="A34" s="5" t="s">
        <v>888</v>
      </c>
      <c r="B34" s="3" t="s">
        <v>226</v>
      </c>
      <c r="C34" s="3" t="s">
        <v>227</v>
      </c>
      <c r="D34" s="5" t="s">
        <v>889</v>
      </c>
      <c r="E34" s="5" t="s">
        <v>890</v>
      </c>
      <c r="F34" s="5" t="s">
        <v>797</v>
      </c>
    </row>
    <row r="35" customFormat="false" ht="15.75" hidden="false" customHeight="true" outlineLevel="0" collapsed="false">
      <c r="A35" s="5" t="s">
        <v>891</v>
      </c>
      <c r="B35" s="3" t="s">
        <v>226</v>
      </c>
      <c r="C35" s="3" t="s">
        <v>227</v>
      </c>
      <c r="D35" s="5" t="s">
        <v>892</v>
      </c>
      <c r="E35" s="5" t="s">
        <v>893</v>
      </c>
      <c r="F35" s="5" t="s">
        <v>797</v>
      </c>
    </row>
    <row r="36" customFormat="false" ht="15.75" hidden="false" customHeight="true" outlineLevel="0" collapsed="false">
      <c r="A36" s="3" t="s">
        <v>894</v>
      </c>
      <c r="B36" s="3" t="s">
        <v>389</v>
      </c>
      <c r="C36" s="3" t="s">
        <v>390</v>
      </c>
      <c r="D36" s="3" t="s">
        <v>895</v>
      </c>
      <c r="E36" s="3" t="s">
        <v>896</v>
      </c>
      <c r="F36" s="3" t="s">
        <v>797</v>
      </c>
    </row>
    <row r="37" customFormat="false" ht="15.75" hidden="false" customHeight="true" outlineLevel="0" collapsed="false">
      <c r="A37" s="3" t="s">
        <v>897</v>
      </c>
      <c r="B37" s="3" t="s">
        <v>389</v>
      </c>
      <c r="C37" s="3" t="s">
        <v>390</v>
      </c>
      <c r="D37" s="3" t="s">
        <v>898</v>
      </c>
      <c r="E37" s="3" t="s">
        <v>899</v>
      </c>
      <c r="F37" s="3" t="s">
        <v>797</v>
      </c>
    </row>
    <row r="38" customFormat="false" ht="15.75" hidden="false" customHeight="true" outlineLevel="0" collapsed="false">
      <c r="A38" s="5" t="s">
        <v>900</v>
      </c>
      <c r="B38" s="3" t="s">
        <v>389</v>
      </c>
      <c r="C38" s="3" t="s">
        <v>390</v>
      </c>
      <c r="D38" s="5" t="s">
        <v>901</v>
      </c>
      <c r="E38" s="5" t="s">
        <v>902</v>
      </c>
      <c r="F38" s="5" t="s">
        <v>797</v>
      </c>
    </row>
    <row r="39" customFormat="false" ht="15.75" hidden="false" customHeight="true" outlineLevel="0" collapsed="false">
      <c r="A39" s="5" t="s">
        <v>903</v>
      </c>
      <c r="B39" s="3" t="s">
        <v>389</v>
      </c>
      <c r="C39" s="3" t="s">
        <v>390</v>
      </c>
      <c r="D39" s="5" t="s">
        <v>904</v>
      </c>
      <c r="E39" s="5" t="s">
        <v>905</v>
      </c>
      <c r="F39" s="5" t="s">
        <v>797</v>
      </c>
    </row>
    <row r="40" customFormat="false" ht="15.75" hidden="false" customHeight="true" outlineLevel="0" collapsed="false">
      <c r="A40" s="5" t="s">
        <v>411</v>
      </c>
      <c r="B40" s="3" t="s">
        <v>389</v>
      </c>
      <c r="C40" s="3" t="s">
        <v>390</v>
      </c>
      <c r="D40" s="5" t="s">
        <v>906</v>
      </c>
      <c r="E40" s="5" t="s">
        <v>907</v>
      </c>
      <c r="F40" s="5" t="s">
        <v>797</v>
      </c>
    </row>
    <row r="41" customFormat="false" ht="15.75" hidden="false" customHeight="true" outlineLevel="0" collapsed="false">
      <c r="A41" s="5" t="s">
        <v>908</v>
      </c>
      <c r="B41" s="3" t="s">
        <v>389</v>
      </c>
      <c r="C41" s="3" t="s">
        <v>390</v>
      </c>
      <c r="D41" s="5" t="s">
        <v>909</v>
      </c>
      <c r="E41" s="5" t="s">
        <v>910</v>
      </c>
      <c r="F41" s="5" t="s">
        <v>797</v>
      </c>
    </row>
    <row r="42" customFormat="false" ht="15.75" hidden="false" customHeight="true" outlineLevel="0" collapsed="false">
      <c r="A42" s="5" t="s">
        <v>911</v>
      </c>
      <c r="B42" s="3" t="s">
        <v>389</v>
      </c>
      <c r="C42" s="3" t="s">
        <v>390</v>
      </c>
      <c r="D42" s="5" t="s">
        <v>912</v>
      </c>
      <c r="E42" s="5" t="s">
        <v>913</v>
      </c>
      <c r="F42" s="5" t="s">
        <v>797</v>
      </c>
    </row>
    <row r="43" customFormat="false" ht="15.75" hidden="false" customHeight="true" outlineLevel="0" collapsed="false">
      <c r="A43" s="5" t="s">
        <v>914</v>
      </c>
      <c r="B43" s="3" t="s">
        <v>389</v>
      </c>
      <c r="C43" s="3" t="s">
        <v>390</v>
      </c>
      <c r="D43" s="5" t="s">
        <v>915</v>
      </c>
      <c r="E43" s="5" t="s">
        <v>916</v>
      </c>
      <c r="F43" s="5" t="s">
        <v>797</v>
      </c>
    </row>
    <row r="44" customFormat="false" ht="15.75" hidden="false" customHeight="true" outlineLevel="0" collapsed="false">
      <c r="A44" s="5" t="s">
        <v>917</v>
      </c>
      <c r="B44" s="3" t="s">
        <v>389</v>
      </c>
      <c r="C44" s="3" t="s">
        <v>390</v>
      </c>
      <c r="D44" s="5" t="s">
        <v>918</v>
      </c>
      <c r="E44" s="5" t="s">
        <v>919</v>
      </c>
      <c r="F44" s="5" t="s">
        <v>797</v>
      </c>
    </row>
    <row r="45" customFormat="false" ht="15.75" hidden="false" customHeight="true" outlineLevel="0" collapsed="false">
      <c r="A45" s="5" t="s">
        <v>920</v>
      </c>
      <c r="B45" s="3" t="s">
        <v>389</v>
      </c>
      <c r="C45" s="3" t="s">
        <v>390</v>
      </c>
      <c r="D45" s="5" t="s">
        <v>921</v>
      </c>
      <c r="E45" s="5" t="s">
        <v>922</v>
      </c>
      <c r="F45" s="5" t="s">
        <v>816</v>
      </c>
    </row>
    <row r="46" customFormat="false" ht="15.75" hidden="false" customHeight="true" outlineLevel="0" collapsed="false">
      <c r="A46" s="5" t="s">
        <v>923</v>
      </c>
      <c r="B46" s="3" t="s">
        <v>389</v>
      </c>
      <c r="C46" s="3" t="s">
        <v>390</v>
      </c>
      <c r="D46" s="5" t="s">
        <v>924</v>
      </c>
      <c r="E46" s="5" t="s">
        <v>925</v>
      </c>
      <c r="F46" s="5" t="s">
        <v>816</v>
      </c>
    </row>
    <row r="47" customFormat="false" ht="15.75" hidden="false" customHeight="true" outlineLevel="0" collapsed="false">
      <c r="A47" s="5" t="s">
        <v>926</v>
      </c>
      <c r="B47" s="3" t="s">
        <v>389</v>
      </c>
      <c r="C47" s="3" t="s">
        <v>390</v>
      </c>
      <c r="D47" s="5" t="s">
        <v>927</v>
      </c>
      <c r="E47" s="5" t="s">
        <v>928</v>
      </c>
      <c r="F47" s="5" t="s">
        <v>816</v>
      </c>
    </row>
    <row r="48" customFormat="false" ht="15.75" hidden="false" customHeight="true" outlineLevel="0" collapsed="false">
      <c r="A48" s="3" t="s">
        <v>559</v>
      </c>
      <c r="B48" s="3" t="s">
        <v>545</v>
      </c>
      <c r="C48" s="3" t="s">
        <v>546</v>
      </c>
      <c r="D48" s="3" t="s">
        <v>929</v>
      </c>
      <c r="E48" s="3" t="s">
        <v>930</v>
      </c>
      <c r="F48" s="3" t="s">
        <v>797</v>
      </c>
    </row>
    <row r="49" customFormat="false" ht="15.75" hidden="false" customHeight="true" outlineLevel="0" collapsed="false">
      <c r="A49" s="3" t="s">
        <v>931</v>
      </c>
      <c r="B49" s="3" t="s">
        <v>545</v>
      </c>
      <c r="C49" s="3" t="s">
        <v>546</v>
      </c>
      <c r="D49" s="3" t="s">
        <v>932</v>
      </c>
      <c r="E49" s="3" t="s">
        <v>933</v>
      </c>
      <c r="F49" s="3" t="s">
        <v>797</v>
      </c>
    </row>
    <row r="50" customFormat="false" ht="15.75" hidden="false" customHeight="true" outlineLevel="0" collapsed="false">
      <c r="A50" s="3" t="s">
        <v>934</v>
      </c>
      <c r="B50" s="3" t="s">
        <v>545</v>
      </c>
      <c r="C50" s="3" t="s">
        <v>546</v>
      </c>
      <c r="D50" s="3" t="s">
        <v>935</v>
      </c>
      <c r="E50" s="3" t="s">
        <v>936</v>
      </c>
      <c r="F50" s="3" t="s">
        <v>797</v>
      </c>
    </row>
    <row r="51" customFormat="false" ht="15.75" hidden="false" customHeight="true" outlineLevel="0" collapsed="false">
      <c r="A51" s="3" t="s">
        <v>937</v>
      </c>
      <c r="B51" s="3" t="s">
        <v>545</v>
      </c>
      <c r="C51" s="3" t="s">
        <v>546</v>
      </c>
      <c r="D51" s="3" t="s">
        <v>938</v>
      </c>
      <c r="E51" s="3" t="s">
        <v>939</v>
      </c>
      <c r="F51" s="3" t="s">
        <v>797</v>
      </c>
    </row>
    <row r="52" customFormat="false" ht="15.75" hidden="false" customHeight="true" outlineLevel="0" collapsed="false">
      <c r="A52" s="5" t="s">
        <v>940</v>
      </c>
      <c r="B52" s="3" t="s">
        <v>545</v>
      </c>
      <c r="C52" s="3" t="s">
        <v>546</v>
      </c>
      <c r="D52" s="5" t="s">
        <v>941</v>
      </c>
      <c r="E52" s="5" t="s">
        <v>942</v>
      </c>
      <c r="F52" s="5" t="s">
        <v>797</v>
      </c>
    </row>
    <row r="53" customFormat="false" ht="15.75" hidden="false" customHeight="true" outlineLevel="0" collapsed="false">
      <c r="A53" s="5" t="s">
        <v>943</v>
      </c>
      <c r="B53" s="3" t="s">
        <v>545</v>
      </c>
      <c r="C53" s="3" t="s">
        <v>546</v>
      </c>
      <c r="D53" s="5" t="s">
        <v>944</v>
      </c>
      <c r="E53" s="5" t="s">
        <v>945</v>
      </c>
      <c r="F53" s="5" t="s">
        <v>797</v>
      </c>
    </row>
    <row r="54" customFormat="false" ht="15.75" hidden="false" customHeight="true" outlineLevel="0" collapsed="false">
      <c r="A54" s="5" t="s">
        <v>737</v>
      </c>
      <c r="B54" s="3" t="s">
        <v>545</v>
      </c>
      <c r="C54" s="3" t="s">
        <v>546</v>
      </c>
      <c r="D54" s="5" t="s">
        <v>946</v>
      </c>
      <c r="E54" s="5" t="s">
        <v>947</v>
      </c>
      <c r="F54" s="5" t="s">
        <v>797</v>
      </c>
    </row>
    <row r="55" customFormat="false" ht="15.75" hidden="false" customHeight="true" outlineLevel="0" collapsed="false">
      <c r="A55" s="5" t="s">
        <v>948</v>
      </c>
      <c r="B55" s="3" t="s">
        <v>545</v>
      </c>
      <c r="C55" s="3" t="s">
        <v>546</v>
      </c>
      <c r="D55" s="5" t="s">
        <v>949</v>
      </c>
      <c r="E55" s="5" t="s">
        <v>950</v>
      </c>
      <c r="F55" s="5" t="s">
        <v>797</v>
      </c>
    </row>
    <row r="56" customFormat="false" ht="15.75" hidden="false" customHeight="true" outlineLevel="0" collapsed="false">
      <c r="A56" s="5" t="s">
        <v>951</v>
      </c>
      <c r="B56" s="3" t="s">
        <v>545</v>
      </c>
      <c r="C56" s="3" t="s">
        <v>546</v>
      </c>
      <c r="D56" s="5" t="s">
        <v>952</v>
      </c>
      <c r="E56" s="5" t="s">
        <v>953</v>
      </c>
      <c r="F56" s="5" t="s">
        <v>797</v>
      </c>
    </row>
    <row r="57" customFormat="false" ht="15.75" hidden="false" customHeight="true" outlineLevel="0" collapsed="false">
      <c r="A57" s="5" t="s">
        <v>954</v>
      </c>
      <c r="B57" s="3" t="s">
        <v>545</v>
      </c>
      <c r="C57" s="3" t="s">
        <v>546</v>
      </c>
      <c r="D57" s="5" t="s">
        <v>955</v>
      </c>
      <c r="E57" s="5" t="s">
        <v>956</v>
      </c>
      <c r="F57" s="5" t="s">
        <v>797</v>
      </c>
    </row>
    <row r="58" customFormat="false" ht="15.75" hidden="false" customHeight="true" outlineLevel="0" collapsed="false">
      <c r="A58" s="5" t="s">
        <v>957</v>
      </c>
      <c r="B58" s="3" t="s">
        <v>545</v>
      </c>
      <c r="C58" s="3" t="s">
        <v>546</v>
      </c>
      <c r="D58" s="5" t="s">
        <v>958</v>
      </c>
      <c r="E58" s="5" t="s">
        <v>959</v>
      </c>
      <c r="F58" s="5" t="s">
        <v>797</v>
      </c>
    </row>
    <row r="59" customFormat="false" ht="15.75" hidden="false" customHeight="true" outlineLevel="0" collapsed="false">
      <c r="A59" s="5" t="s">
        <v>960</v>
      </c>
      <c r="B59" s="3" t="s">
        <v>545</v>
      </c>
      <c r="C59" s="3" t="s">
        <v>546</v>
      </c>
      <c r="D59" s="5" t="s">
        <v>961</v>
      </c>
      <c r="E59" s="5" t="s">
        <v>962</v>
      </c>
      <c r="F59" s="5" t="s">
        <v>797</v>
      </c>
    </row>
    <row r="60" customFormat="false" ht="15.75" hidden="false" customHeight="true" outlineLevel="0" collapsed="false">
      <c r="A60" s="5" t="s">
        <v>963</v>
      </c>
      <c r="B60" s="3" t="s">
        <v>545</v>
      </c>
      <c r="C60" s="3" t="s">
        <v>546</v>
      </c>
      <c r="D60" s="5" t="s">
        <v>964</v>
      </c>
      <c r="E60" s="5" t="s">
        <v>965</v>
      </c>
      <c r="F60" s="5" t="s">
        <v>797</v>
      </c>
    </row>
    <row r="61" customFormat="false" ht="15.75" hidden="false" customHeight="true" outlineLevel="0" collapsed="false">
      <c r="A61" s="5" t="s">
        <v>966</v>
      </c>
      <c r="B61" s="3" t="s">
        <v>545</v>
      </c>
      <c r="C61" s="3" t="s">
        <v>546</v>
      </c>
      <c r="D61" s="5" t="s">
        <v>967</v>
      </c>
      <c r="E61" s="5" t="s">
        <v>968</v>
      </c>
      <c r="F61" s="5" t="s">
        <v>797</v>
      </c>
    </row>
    <row r="62" customFormat="false" ht="15.75" hidden="false" customHeight="true" outlineLevel="0" collapsed="false">
      <c r="A62" s="5" t="s">
        <v>969</v>
      </c>
      <c r="B62" s="3" t="s">
        <v>545</v>
      </c>
      <c r="C62" s="3" t="s">
        <v>546</v>
      </c>
      <c r="D62" s="5" t="s">
        <v>970</v>
      </c>
      <c r="E62" s="5" t="s">
        <v>971</v>
      </c>
      <c r="F62" s="5" t="s">
        <v>797</v>
      </c>
    </row>
    <row r="63" customFormat="false" ht="15.75" hidden="false" customHeight="true" outlineLevel="0" collapsed="false">
      <c r="A63" s="5" t="s">
        <v>972</v>
      </c>
      <c r="B63" s="3" t="s">
        <v>545</v>
      </c>
      <c r="C63" s="3" t="s">
        <v>546</v>
      </c>
      <c r="D63" s="5" t="s">
        <v>973</v>
      </c>
      <c r="E63" s="5" t="s">
        <v>974</v>
      </c>
      <c r="F63" s="5" t="s">
        <v>797</v>
      </c>
    </row>
    <row r="64" customFormat="false" ht="15.75" hidden="false" customHeight="true" outlineLevel="0" collapsed="false">
      <c r="A64" s="5" t="s">
        <v>975</v>
      </c>
      <c r="B64" s="3" t="s">
        <v>545</v>
      </c>
      <c r="C64" s="3" t="s">
        <v>546</v>
      </c>
      <c r="D64" s="5" t="s">
        <v>976</v>
      </c>
      <c r="E64" s="5" t="s">
        <v>977</v>
      </c>
      <c r="F64" s="5" t="s">
        <v>797</v>
      </c>
    </row>
    <row r="65" customFormat="false" ht="15.75" hidden="false" customHeight="true" outlineLevel="0" collapsed="false">
      <c r="A65" s="5" t="s">
        <v>978</v>
      </c>
      <c r="B65" s="3" t="s">
        <v>545</v>
      </c>
      <c r="C65" s="3" t="s">
        <v>546</v>
      </c>
      <c r="D65" s="5" t="s">
        <v>979</v>
      </c>
      <c r="E65" s="5" t="s">
        <v>980</v>
      </c>
      <c r="F65" s="5" t="s">
        <v>797</v>
      </c>
    </row>
    <row r="66" customFormat="false" ht="15.75" hidden="false" customHeight="true" outlineLevel="0" collapsed="false">
      <c r="A66" s="5" t="s">
        <v>981</v>
      </c>
      <c r="B66" s="3" t="s">
        <v>545</v>
      </c>
      <c r="C66" s="3" t="s">
        <v>546</v>
      </c>
      <c r="D66" s="5" t="s">
        <v>982</v>
      </c>
      <c r="E66" s="5" t="s">
        <v>983</v>
      </c>
      <c r="F66" s="5" t="s">
        <v>797</v>
      </c>
    </row>
    <row r="67" customFormat="false" ht="15.75" hidden="false" customHeight="true" outlineLevel="0" collapsed="false">
      <c r="A67" s="5" t="s">
        <v>984</v>
      </c>
      <c r="B67" s="3" t="s">
        <v>545</v>
      </c>
      <c r="C67" s="3" t="s">
        <v>546</v>
      </c>
      <c r="D67" s="5" t="s">
        <v>985</v>
      </c>
      <c r="E67" s="5" t="s">
        <v>986</v>
      </c>
      <c r="F67" s="5" t="s">
        <v>797</v>
      </c>
    </row>
    <row r="68" customFormat="false" ht="15.75" hidden="false" customHeight="true" outlineLevel="0" collapsed="false">
      <c r="A68" s="5" t="s">
        <v>987</v>
      </c>
      <c r="B68" s="3" t="s">
        <v>545</v>
      </c>
      <c r="C68" s="3" t="s">
        <v>546</v>
      </c>
      <c r="D68" s="5" t="s">
        <v>988</v>
      </c>
      <c r="E68" s="5" t="s">
        <v>989</v>
      </c>
      <c r="F68" s="5" t="s">
        <v>797</v>
      </c>
    </row>
    <row r="69" customFormat="false" ht="15.75" hidden="false" customHeight="true" outlineLevel="0" collapsed="false">
      <c r="A69" s="5" t="s">
        <v>592</v>
      </c>
      <c r="B69" s="3" t="s">
        <v>545</v>
      </c>
      <c r="C69" s="3" t="s">
        <v>546</v>
      </c>
      <c r="D69" s="5" t="s">
        <v>990</v>
      </c>
      <c r="E69" s="5" t="s">
        <v>991</v>
      </c>
      <c r="F69" s="5" t="s">
        <v>797</v>
      </c>
    </row>
    <row r="70" customFormat="false" ht="15.75" hidden="false" customHeight="true" outlineLevel="0" collapsed="false">
      <c r="A70" s="5" t="s">
        <v>992</v>
      </c>
      <c r="B70" s="3" t="s">
        <v>545</v>
      </c>
      <c r="C70" s="3" t="s">
        <v>546</v>
      </c>
      <c r="D70" s="5" t="s">
        <v>993</v>
      </c>
      <c r="E70" s="5" t="s">
        <v>994</v>
      </c>
      <c r="F70" s="5" t="s">
        <v>797</v>
      </c>
    </row>
    <row r="71" customFormat="false" ht="15.75" hidden="false" customHeight="true" outlineLevel="0" collapsed="false">
      <c r="A71" s="5" t="s">
        <v>995</v>
      </c>
      <c r="B71" s="3" t="s">
        <v>545</v>
      </c>
      <c r="C71" s="3" t="s">
        <v>546</v>
      </c>
      <c r="D71" s="5" t="s">
        <v>996</v>
      </c>
      <c r="E71" s="5" t="s">
        <v>997</v>
      </c>
      <c r="F71" s="5" t="s">
        <v>797</v>
      </c>
    </row>
    <row r="72" customFormat="false" ht="15.75" hidden="false" customHeight="true" outlineLevel="0" collapsed="false">
      <c r="A72" s="5" t="s">
        <v>998</v>
      </c>
      <c r="B72" s="3" t="s">
        <v>545</v>
      </c>
      <c r="C72" s="3" t="s">
        <v>546</v>
      </c>
      <c r="D72" s="5" t="s">
        <v>999</v>
      </c>
      <c r="E72" s="5" t="s">
        <v>1000</v>
      </c>
      <c r="F72" s="5" t="s">
        <v>797</v>
      </c>
    </row>
    <row r="73" customFormat="false" ht="15.75" hidden="false" customHeight="true" outlineLevel="0" collapsed="false">
      <c r="A73" s="5" t="s">
        <v>1001</v>
      </c>
      <c r="B73" s="3" t="s">
        <v>545</v>
      </c>
      <c r="C73" s="3" t="s">
        <v>546</v>
      </c>
      <c r="D73" s="5" t="s">
        <v>1002</v>
      </c>
      <c r="E73" s="5" t="s">
        <v>1003</v>
      </c>
      <c r="F73" s="5" t="s">
        <v>797</v>
      </c>
    </row>
    <row r="74" customFormat="false" ht="15.75" hidden="false" customHeight="true" outlineLevel="0" collapsed="false">
      <c r="A74" s="5" t="s">
        <v>1004</v>
      </c>
      <c r="B74" s="3" t="s">
        <v>545</v>
      </c>
      <c r="C74" s="3" t="s">
        <v>546</v>
      </c>
      <c r="D74" s="5" t="s">
        <v>1005</v>
      </c>
      <c r="E74" s="5" t="s">
        <v>1006</v>
      </c>
      <c r="F74" s="5" t="s">
        <v>797</v>
      </c>
    </row>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F7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5.29"/>
    <col collapsed="false" customWidth="true" hidden="false" outlineLevel="0" max="2" min="2" style="1" width="27.57"/>
    <col collapsed="false" customWidth="true" hidden="false" outlineLevel="0" max="3" min="3" style="1" width="30.57"/>
    <col collapsed="false" customWidth="true" hidden="false" outlineLevel="0" max="4" min="4" style="1" width="90"/>
  </cols>
  <sheetData>
    <row r="1" customFormat="false" ht="50.25" hidden="false" customHeight="true" outlineLevel="0" collapsed="false">
      <c r="A1" s="13" t="s">
        <v>1007</v>
      </c>
      <c r="B1" s="14" t="s">
        <v>1008</v>
      </c>
      <c r="C1" s="14" t="s">
        <v>1009</v>
      </c>
      <c r="D1" s="14" t="s">
        <v>1010</v>
      </c>
    </row>
    <row r="2" customFormat="false" ht="27.75" hidden="false" customHeight="true" outlineLevel="0" collapsed="false">
      <c r="B2" s="1" t="s">
        <v>91</v>
      </c>
      <c r="C2" s="1" t="s">
        <v>1011</v>
      </c>
      <c r="D2" s="6" t="s">
        <v>1012</v>
      </c>
    </row>
    <row r="3" customFormat="false" ht="27.75" hidden="false" customHeight="true" outlineLevel="0" collapsed="false">
      <c r="B3" s="1" t="s">
        <v>36</v>
      </c>
      <c r="C3" s="1" t="s">
        <v>1013</v>
      </c>
      <c r="D3" s="6" t="s">
        <v>1014</v>
      </c>
    </row>
    <row r="4" customFormat="false" ht="27.75" hidden="false" customHeight="true" outlineLevel="0" collapsed="false">
      <c r="B4" s="1" t="s">
        <v>66</v>
      </c>
      <c r="C4" s="1" t="s">
        <v>1015</v>
      </c>
      <c r="D4" s="6" t="s">
        <v>1016</v>
      </c>
    </row>
    <row r="5" customFormat="false" ht="27.75" hidden="false" customHeight="true" outlineLevel="0" collapsed="false">
      <c r="B5" s="1" t="s">
        <v>80</v>
      </c>
      <c r="C5" s="1" t="s">
        <v>1017</v>
      </c>
      <c r="D5" s="6" t="s">
        <v>1018</v>
      </c>
    </row>
    <row r="6" customFormat="false" ht="27.75" hidden="false" customHeight="true" outlineLevel="0" collapsed="false">
      <c r="B6" s="1" t="s">
        <v>106</v>
      </c>
      <c r="C6" s="1" t="s">
        <v>1019</v>
      </c>
      <c r="D6" s="6" t="s">
        <v>1020</v>
      </c>
    </row>
    <row r="7" customFormat="false" ht="15" hidden="false" customHeight="true" outlineLevel="0" collapsed="false">
      <c r="B7" s="1" t="s">
        <v>186</v>
      </c>
      <c r="C7" s="1" t="s">
        <v>1021</v>
      </c>
      <c r="D7" s="6" t="s">
        <v>1022</v>
      </c>
    </row>
    <row r="9" customFormat="false" ht="48" hidden="false" customHeight="true" outlineLevel="0" collapsed="false">
      <c r="A9" s="13" t="s">
        <v>1023</v>
      </c>
      <c r="B9" s="14" t="s">
        <v>1008</v>
      </c>
      <c r="C9" s="14" t="s">
        <v>1009</v>
      </c>
      <c r="D9" s="14" t="s">
        <v>1010</v>
      </c>
    </row>
    <row r="10" customFormat="false" ht="15" hidden="false" customHeight="true" outlineLevel="0" collapsed="false">
      <c r="B10" s="1" t="s">
        <v>67</v>
      </c>
      <c r="C10" s="1" t="s">
        <v>1024</v>
      </c>
      <c r="D10" s="6" t="s">
        <v>1025</v>
      </c>
    </row>
    <row r="11" customFormat="false" ht="15" hidden="false" customHeight="true" outlineLevel="0" collapsed="false">
      <c r="B11" s="1" t="s">
        <v>37</v>
      </c>
      <c r="C11" s="1" t="s">
        <v>1026</v>
      </c>
      <c r="D11" s="6" t="s">
        <v>1027</v>
      </c>
    </row>
    <row r="12" customFormat="false" ht="15" hidden="false" customHeight="true" outlineLevel="0" collapsed="false">
      <c r="B12" s="1" t="s">
        <v>186</v>
      </c>
      <c r="C12" s="1" t="s">
        <v>1021</v>
      </c>
      <c r="D12" s="6" t="s">
        <v>1022</v>
      </c>
    </row>
    <row r="14" customFormat="false" ht="15" hidden="false" customHeight="true" outlineLevel="0" collapsed="false">
      <c r="A14" s="10" t="s">
        <v>1028</v>
      </c>
    </row>
    <row r="15" customFormat="false" ht="15" hidden="false" customHeight="true" outlineLevel="0" collapsed="false">
      <c r="A15" s="11" t="s">
        <v>1029</v>
      </c>
    </row>
    <row r="16" customFormat="false" ht="15" hidden="false" customHeight="true" outlineLevel="0" collapsed="false">
      <c r="A16" s="11" t="s">
        <v>1030</v>
      </c>
    </row>
    <row r="17" customFormat="false" ht="15" hidden="false" customHeight="true" outlineLevel="0" collapsed="false">
      <c r="A17" s="11" t="s">
        <v>1031</v>
      </c>
    </row>
    <row r="18" customFormat="false" ht="15" hidden="false" customHeight="true" outlineLevel="0" collapsed="false">
      <c r="A18" s="11" t="s">
        <v>1032</v>
      </c>
    </row>
    <row r="19" customFormat="false" ht="15" hidden="false" customHeight="true" outlineLevel="0" collapsed="false">
      <c r="A19" s="11" t="s">
        <v>1033</v>
      </c>
    </row>
    <row r="20" customFormat="false" ht="15" hidden="false" customHeight="true" outlineLevel="0" collapsed="false">
      <c r="A20" s="11" t="s">
        <v>1034</v>
      </c>
    </row>
    <row r="21" customFormat="false" ht="15" hidden="false" customHeight="true" outlineLevel="0" collapsed="false">
      <c r="A21" s="11" t="s">
        <v>1035</v>
      </c>
    </row>
    <row r="22" customFormat="false" ht="15" hidden="false" customHeight="true" outlineLevel="0" collapsed="false">
      <c r="A22" s="11" t="s">
        <v>1036</v>
      </c>
    </row>
    <row r="24" customFormat="false" ht="15" hidden="false" customHeight="false" outlineLevel="0" collapsed="false">
      <c r="A24" s="11" t="s">
        <v>1037</v>
      </c>
    </row>
    <row r="25" customFormat="false" ht="15" hidden="false" customHeight="false" outlineLevel="0" collapsed="false">
      <c r="A25" s="15" t="s">
        <v>1038</v>
      </c>
    </row>
    <row r="26" customFormat="false" ht="15" hidden="false" customHeight="false" outlineLevel="0" collapsed="false">
      <c r="A26" s="16" t="s">
        <v>1039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2026-10-09T00:54:31Z</dcterms:created>
  <dc:creator>openpyxl</dc:creator>
  <dc:description/>
  <dc:language>en-US</dc:language>
  <cp:lastModifiedBy/>
  <dcterms:modified xsi:type="dcterms:W3CDTF">2026-10-09T02:04:41Z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